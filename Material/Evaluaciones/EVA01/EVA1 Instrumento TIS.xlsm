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8" codeName="{4F8ACE45-EE9A-2D80-15BD-93BB759BF45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urso/Desktop/inacap/Cursos/TIS/Evaluaciones/EVA01/"/>
    </mc:Choice>
  </mc:AlternateContent>
  <xr:revisionPtr revIDLastSave="0" documentId="13_ncr:1_{E98C259D-D442-0940-9244-2F6D303DA9BA}" xr6:coauthVersionLast="45" xr6:coauthVersionMax="45" xr10:uidLastSave="{00000000-0000-0000-0000-000000000000}"/>
  <bookViews>
    <workbookView xWindow="0" yWindow="460" windowWidth="28800" windowHeight="16500" tabRatio="694" activeTab="1" xr2:uid="{00000000-000D-0000-FFFF-FFFF00000000}"/>
  </bookViews>
  <sheets>
    <sheet name="Acta" sheetId="30" r:id="rId1"/>
    <sheet name="Informe" sheetId="40" r:id="rId2"/>
    <sheet name="Disertación" sheetId="28" r:id="rId3"/>
    <sheet name="Software" sheetId="33" r:id="rId4"/>
    <sheet name="Estudiante" sheetId="35" r:id="rId5"/>
    <sheet name="Anotaciones" sheetId="13" r:id="rId6"/>
    <sheet name="Tab" sheetId="25" state="hidden" r:id="rId7"/>
  </sheets>
  <definedNames>
    <definedName name="_xlnm.Print_Area" localSheetId="0">Acta!$B$1:$K$34</definedName>
    <definedName name="_xlnm.Print_Area" localSheetId="2">Disertación!$B$1:$H$26</definedName>
    <definedName name="_xlnm.Print_Area" localSheetId="4">Estudiante!$A$1:$X$18</definedName>
    <definedName name="_xlnm.Print_Area" localSheetId="1">Informe!$B$1:$H$28</definedName>
    <definedName name="_xlnm.Print_Area" localSheetId="3">Software!$B$1:$H$25</definedName>
    <definedName name="_xlnm.Print_Titles" localSheetId="1">Informe!$14:$20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2" i="30" l="1"/>
  <c r="I25" i="30"/>
  <c r="I18" i="30"/>
  <c r="H17" i="30"/>
  <c r="I30" i="40"/>
  <c r="I29" i="40"/>
  <c r="I28" i="40"/>
  <c r="I26" i="40"/>
  <c r="I24" i="40"/>
  <c r="I22" i="40"/>
  <c r="I20" i="40"/>
  <c r="I18" i="40"/>
  <c r="I16" i="40"/>
  <c r="I14" i="40"/>
  <c r="I12" i="40"/>
  <c r="H19" i="30"/>
  <c r="I29" i="28"/>
  <c r="I28" i="28"/>
  <c r="I26" i="28"/>
  <c r="I24" i="28"/>
  <c r="I22" i="28"/>
  <c r="I20" i="28"/>
  <c r="I18" i="28"/>
  <c r="I16" i="28"/>
  <c r="I14" i="28"/>
  <c r="I12" i="28"/>
  <c r="H18" i="30"/>
  <c r="I25" i="33"/>
  <c r="I24" i="33"/>
  <c r="I23" i="33"/>
  <c r="I22" i="33"/>
  <c r="I21" i="33"/>
  <c r="I20" i="33"/>
  <c r="I19" i="33"/>
  <c r="I18" i="33"/>
  <c r="I17" i="33"/>
  <c r="I16" i="33"/>
  <c r="I15" i="33"/>
  <c r="I14" i="33"/>
  <c r="I13" i="33"/>
  <c r="I12" i="33"/>
  <c r="H34" i="30"/>
  <c r="H27" i="30"/>
  <c r="H20" i="30"/>
  <c r="Y21" i="35"/>
  <c r="Q21" i="35"/>
  <c r="Y20" i="35"/>
  <c r="Q20" i="35"/>
  <c r="Y18" i="35"/>
  <c r="Y16" i="35"/>
  <c r="Y14" i="35"/>
  <c r="Y12" i="35"/>
  <c r="Q12" i="35"/>
  <c r="Q14" i="35"/>
  <c r="Q16" i="35"/>
  <c r="Q18" i="35"/>
  <c r="I18" i="35"/>
  <c r="I16" i="35"/>
  <c r="I14" i="35"/>
  <c r="I12" i="35"/>
  <c r="R7" i="35"/>
  <c r="J7" i="35"/>
  <c r="B7" i="35"/>
  <c r="I20" i="35" l="1"/>
  <c r="I21" i="35" s="1"/>
  <c r="C3" i="33"/>
  <c r="C2" i="33"/>
  <c r="C1" i="33"/>
  <c r="S3" i="35" l="1"/>
  <c r="S2" i="35"/>
  <c r="S1" i="35"/>
  <c r="K3" i="35"/>
  <c r="K2" i="35"/>
  <c r="K1" i="35"/>
  <c r="C3" i="35"/>
  <c r="C2" i="35"/>
  <c r="C1" i="35"/>
  <c r="C3" i="28"/>
  <c r="C2" i="28"/>
  <c r="C1" i="28"/>
  <c r="C3" i="40"/>
  <c r="C2" i="40"/>
  <c r="C1" i="40"/>
  <c r="D5" i="25" l="1"/>
  <c r="H25" i="30" l="1"/>
  <c r="H32" i="30"/>
  <c r="J7" i="30"/>
  <c r="B29" i="30"/>
  <c r="B22" i="30"/>
  <c r="B15" i="30"/>
  <c r="I17" i="30" l="1"/>
  <c r="H24" i="30"/>
  <c r="I24" i="30" s="1"/>
  <c r="H31" i="30"/>
  <c r="I31" i="30" s="1"/>
  <c r="J17" i="30" l="1"/>
  <c r="F11" i="30" s="1"/>
  <c r="H11" i="30" s="1"/>
  <c r="H26" i="30"/>
  <c r="J24" i="30" s="1"/>
  <c r="F12" i="30" s="1"/>
  <c r="H12" i="30" s="1"/>
  <c r="H33" i="30"/>
  <c r="J31" i="30" s="1"/>
  <c r="F13" i="30" s="1"/>
  <c r="H13" i="30" s="1"/>
</calcChain>
</file>

<file path=xl/sharedStrings.xml><?xml version="1.0" encoding="utf-8"?>
<sst xmlns="http://schemas.openxmlformats.org/spreadsheetml/2006/main" count="342" uniqueCount="196">
  <si>
    <t>Elemento</t>
  </si>
  <si>
    <t>Criterio</t>
  </si>
  <si>
    <t>Indicadores</t>
  </si>
  <si>
    <t>(Ingresar X en el casillero adecuado)</t>
  </si>
  <si>
    <t>Nombre de Proyecto</t>
  </si>
  <si>
    <t>%</t>
  </si>
  <si>
    <t>Disertación</t>
  </si>
  <si>
    <t>ENTREGABLE</t>
  </si>
  <si>
    <t>CONTENIDO</t>
  </si>
  <si>
    <t>NOTA</t>
  </si>
  <si>
    <t>TABLA DE NOTAS AUTOMATICA</t>
  </si>
  <si>
    <t>Total de Puntos:</t>
  </si>
  <si>
    <t>puntos</t>
  </si>
  <si>
    <t>Porcentaje de Aprobación:</t>
  </si>
  <si>
    <t>Se puede cambiar el porcentaje de aprobación</t>
  </si>
  <si>
    <t>Puntaje de Aprobación:</t>
  </si>
  <si>
    <t>Pts.</t>
  </si>
  <si>
    <t>Nota</t>
  </si>
  <si>
    <t>PROYECTO:</t>
  </si>
  <si>
    <t>Exposición PPT</t>
  </si>
  <si>
    <t>RESUMEN NOTA FINAL</t>
  </si>
  <si>
    <t>Hora de Inicio:</t>
  </si>
  <si>
    <t>Hora de Término:</t>
  </si>
  <si>
    <t>Duración Disertación (min):</t>
  </si>
  <si>
    <t>(hh:mm)</t>
  </si>
  <si>
    <t>Formato Hora:</t>
  </si>
  <si>
    <t>Criterios</t>
  </si>
  <si>
    <t>BUENO</t>
  </si>
  <si>
    <t>INSUFICIENTE</t>
  </si>
  <si>
    <t>Preguntas Comisión</t>
  </si>
  <si>
    <t>RÚBRICA PREGUNTAS COMISIÓN</t>
  </si>
  <si>
    <t>Responde en forma certera la pregunta 1, sin dudas con respecto al tema</t>
  </si>
  <si>
    <t>Responde en forma certera la pregunta 1, aunque muestra inseguridad menor al responder.</t>
  </si>
  <si>
    <t>La respuesta a la pregunta 1,  no es certera presentando ciertos errores u omisiones menores</t>
  </si>
  <si>
    <t xml:space="preserve">La respuesta a la pregunta 1,  tiene importantes errores/ omisiones y/o muestra una gran inseguridad al responder. </t>
  </si>
  <si>
    <t>Responde en forma certera la pregunta 2, sin dudas con respecto al tema.</t>
  </si>
  <si>
    <t>Responde en forma certera la pregunta 2, aunque muestra inseguridad menor al responder.</t>
  </si>
  <si>
    <t>La respuesta a la pregunta 2,  no es certera presentando ciertos errores u omisiones menores.</t>
  </si>
  <si>
    <t xml:space="preserve">La respuesta a la pregunta 2,  tiene importantes errores/ omisiones y/o muestra una gran inseguridad al responder. </t>
  </si>
  <si>
    <t>Se evidencia  estructura en la respuesta entregada a la pregunta 1.</t>
  </si>
  <si>
    <t>Se evidencia mediana estructura en la respuesta entregada a la pregunta 1.</t>
  </si>
  <si>
    <t>Se evidencia baja estructura en la respuesta entregada a la pregunta 1.</t>
  </si>
  <si>
    <t>No se evidencia estructura en la respuesta entregada a la pregunta 1.</t>
  </si>
  <si>
    <t>Se evidencia  estructura en la respuesta entregada a la pregunta 2.</t>
  </si>
  <si>
    <t>Se evidencia mediana estructura en la respuesta entregada a la pregunta 2.</t>
  </si>
  <si>
    <t>Se evidencia baja estructura en la respuesta entregada a la pregunta 2.</t>
  </si>
  <si>
    <t>No se evidencia estructura en la respuesta entregada a la pregunta 2.</t>
  </si>
  <si>
    <t>Dominio técnico de la temática
(Pregunta 1)</t>
  </si>
  <si>
    <t>Dominio para estructurar la respuesta
(Pregunta 2)</t>
  </si>
  <si>
    <t>Dominio para estructurar la respuesta
(Pregunta 1)</t>
  </si>
  <si>
    <t>Dominio técnico de la temática
(Pregunta 2)</t>
  </si>
  <si>
    <t>DOC-1</t>
  </si>
  <si>
    <t>Informe</t>
  </si>
  <si>
    <t>Desarrollo Pauta de Trabajo</t>
  </si>
  <si>
    <t>NO</t>
  </si>
  <si>
    <t>No observado.</t>
  </si>
  <si>
    <t>4 puntos</t>
  </si>
  <si>
    <t>3 puntos</t>
  </si>
  <si>
    <t>2 puntos</t>
  </si>
  <si>
    <t>1 punto</t>
  </si>
  <si>
    <t>0 puntos</t>
  </si>
  <si>
    <t>RÚBRICA  ENTREGA SOFTWARE</t>
  </si>
  <si>
    <t>LOGRADO</t>
  </si>
  <si>
    <t>MEDIANAMENTE LOGRADO</t>
  </si>
  <si>
    <t>POCO LOGRADO</t>
  </si>
  <si>
    <t>NO LOGRADO</t>
  </si>
  <si>
    <t>NO OBSERVADO</t>
  </si>
  <si>
    <t>SI</t>
  </si>
  <si>
    <t>INTERFAZ DE USUARIO</t>
  </si>
  <si>
    <t>Similaridad</t>
  </si>
  <si>
    <t>Elementos que poseen cualidades similares en todas las interfaces.</t>
  </si>
  <si>
    <t>Proximidad</t>
  </si>
  <si>
    <t>Grupo de botones o datos que tengan un orden lógico.</t>
  </si>
  <si>
    <t>MUY BUENO</t>
  </si>
  <si>
    <t>SUFICIENTE</t>
  </si>
  <si>
    <t>NO RESPONDE</t>
  </si>
  <si>
    <t>No responde</t>
  </si>
  <si>
    <t>REQUERIMIENTOS RELEVANTES A DESARROLLAR</t>
  </si>
  <si>
    <t>REQUERIMIENTO
N°1</t>
  </si>
  <si>
    <t>Subproceso n°1</t>
  </si>
  <si>
    <t>Subproceso n°2</t>
  </si>
  <si>
    <t>OBSERVACIÓN:</t>
  </si>
  <si>
    <r>
      <t xml:space="preserve">Los textos escritos en </t>
    </r>
    <r>
      <rPr>
        <b/>
        <i/>
        <sz val="11"/>
        <color rgb="FFF57B17"/>
        <rFont val="Calibri"/>
        <family val="2"/>
        <scheme val="minor"/>
      </rPr>
      <t>color naranja</t>
    </r>
    <r>
      <rPr>
        <sz val="11"/>
        <color theme="1"/>
        <rFont val="Calibri"/>
        <family val="2"/>
        <scheme val="minor"/>
      </rPr>
      <t xml:space="preserve"> deben ser reemplazados con los datos de cada proyecto</t>
    </r>
  </si>
  <si>
    <t>DATOS GENERALES</t>
  </si>
  <si>
    <t>Desarrollo Avance de Software</t>
  </si>
  <si>
    <t>Nombre del Proceso de negocio relevante n°1 (presentado en avance anterior)</t>
  </si>
  <si>
    <t>TALLER DE INTEGRACIÓN DE SOFTWARE</t>
  </si>
  <si>
    <t>[INFORME] - [ENTREGA DE SOFTWARE] - [EXPOSICIÓN]</t>
  </si>
  <si>
    <t>EVALUACIÓN SUMATIVA Nº 1 - 15%</t>
  </si>
  <si>
    <t>Académico TIS:</t>
  </si>
  <si>
    <t>Nombre de Académico</t>
  </si>
  <si>
    <t>NOMBRE DE ESTUDIANTE</t>
  </si>
  <si>
    <t>Nombre de Estudiante 1</t>
  </si>
  <si>
    <t>Nombre de Estudiante 2</t>
  </si>
  <si>
    <t>Nombre de Estudiante 3</t>
  </si>
  <si>
    <t>Descripción del proyecto</t>
  </si>
  <si>
    <t>Objetivos del proyecto</t>
  </si>
  <si>
    <t>Beneficios, supuestos, afectados y tipos de usuarios</t>
  </si>
  <si>
    <t>Definición de requerimientos</t>
  </si>
  <si>
    <t>Estudio de la factibilidad</t>
  </si>
  <si>
    <t>Ciclo de vida y metodología del desarrollo</t>
  </si>
  <si>
    <t>Presentación de la empresa</t>
  </si>
  <si>
    <t>Planteamiento de la necesidad o problema</t>
  </si>
  <si>
    <t>Afectados</t>
  </si>
  <si>
    <t>Solución</t>
  </si>
  <si>
    <t>Beneficios al cliente o unidad afectada</t>
  </si>
  <si>
    <t>Ciclo de vida y metodología de desarrollo</t>
  </si>
  <si>
    <t>Tecnologías a utilizar</t>
  </si>
  <si>
    <t>Creación de usuarios</t>
  </si>
  <si>
    <t>Crear nuevos usuarios con el mantenedor correspondiente</t>
  </si>
  <si>
    <t>Distintas vistas entre roles</t>
  </si>
  <si>
    <t>Se observan diferencias en las vistas del software cuando se inicia sesión con los distintos tipos de usuarios</t>
  </si>
  <si>
    <t>Entrega Avance 01 de Software x Módulo</t>
  </si>
  <si>
    <t>Páginas en Construcción</t>
  </si>
  <si>
    <t>Se observa mensaje de página en construcción para aquellas páginas que no están terminadas.</t>
  </si>
  <si>
    <t>Servidor</t>
  </si>
  <si>
    <t>Las páginas se ejecutan como localhost en equipo de estudiante</t>
  </si>
  <si>
    <t>Las tecnologías a utilizar no coinciden con lo realizado</t>
  </si>
  <si>
    <t>Identifica el problema sin utilizar cadena de valor ni los procesos afectados.</t>
  </si>
  <si>
    <t>No identifica el problema real afectado.</t>
  </si>
  <si>
    <t>Flujos completos de datos extraídos de la base de datos acorde al proceso de negocio n°1 validado.</t>
  </si>
  <si>
    <t>Uso de datos válidos del Subproceso n°1</t>
  </si>
  <si>
    <t>Uso de datos válidos del Subproceso n°2</t>
  </si>
  <si>
    <t>Descripción del subproceso 1, basándose en los requerimientos solicitados por el cliente.</t>
  </si>
  <si>
    <t>Descripción del subproceso 2, basándose en los requerimientos solicitados por el cliente.</t>
  </si>
  <si>
    <t>Se identifica claramente de que trata el proyecto, detallando situación actual y necesidad del cliente.</t>
  </si>
  <si>
    <t>.Se identifica claramente de que trata el proyecto, indicando superficialmente situación actual del cliente</t>
  </si>
  <si>
    <t>Se identifica el problema pero no indica situación actual.</t>
  </si>
  <si>
    <t>El problema no se ve identificado.</t>
  </si>
  <si>
    <t>Define el objetivo general y propone objetivos específicos que se pueden medir.</t>
  </si>
  <si>
    <t>Define un objetivo general y objetivos específicos que no se pueden medir.</t>
  </si>
  <si>
    <t>Define objetivos que no contrarrestan con lo solicitado en el proyecto.</t>
  </si>
  <si>
    <t>No define objetivos coherentes con el proyecto.</t>
  </si>
  <si>
    <t>Define claramente los beneficios y supuestos que afectarán a los distintos tipos de usuarios.</t>
  </si>
  <si>
    <t>Define sin profundizar los beneficios y supuestos del proyectos de los afectados del proyecto.</t>
  </si>
  <si>
    <t>Menciona superficialmente los beneficios y supuestos sin relacionarlos con los afectados del proyecto.</t>
  </si>
  <si>
    <t>No define correctamente los beneficios que puede traer a los distintos tipos de usuarios.</t>
  </si>
  <si>
    <t>Define correctamente los requerimientos explicando claramente los funcionales y no funcionales.</t>
  </si>
  <si>
    <t>Define los requerimientos funcionales y no funcionales de forma incompleta.</t>
  </si>
  <si>
    <t>Lista sin describir los requerimientos funcionales y no funcionales.</t>
  </si>
  <si>
    <t>No identifica claramente los requerimientos.</t>
  </si>
  <si>
    <t>Se realiza un estudio técnico comparando las distintas alternativas.</t>
  </si>
  <si>
    <t>Se realiza un estudio con las distintas alternativas sin detalles técnicos.</t>
  </si>
  <si>
    <t>Se realiza un estudio sin mencionar las distintas alternativas posibles.</t>
  </si>
  <si>
    <t>El estudio no tiene sustento para la factibilidad técnica u operacional.</t>
  </si>
  <si>
    <t>Describe y profundiza el ciclo de vida y metodología del desarrollo a utilizar, indicando cada una de sus etapas.</t>
  </si>
  <si>
    <t>Menciona el ciclo de vida y metodología a utilizar sin indicar las etapas correspondientes.</t>
  </si>
  <si>
    <t>Describe sin profundizar el ciclo de vida y/o metodología a utilizar.</t>
  </si>
  <si>
    <t>No se identifica el ciclo de vida y/o metodología a emplear.</t>
  </si>
  <si>
    <t>Describe los criterios de elección de la tecnología y los respectivos beneficios de las tecnologías.</t>
  </si>
  <si>
    <t>Describe los criterios de elección de las tecnologías a utilizar, sin mencionar sus beneficios.</t>
  </si>
  <si>
    <t>Lista sin profundizar las tecnologías a utilizar.</t>
  </si>
  <si>
    <t>Presenta situación actual y funcionamiento de la empresa.</t>
  </si>
  <si>
    <t>Presenta sin profundidad situación actual de la empresa.</t>
  </si>
  <si>
    <t>Presenta solamente funcionamiento de la empresa.</t>
  </si>
  <si>
    <t>Describe la empresa sin profundizar en lo que realiza.</t>
  </si>
  <si>
    <t>Identifica el problema sin utilizar una cadena de valor, sin embargo, menciona los procesos afectados.</t>
  </si>
  <si>
    <t>Identifica correctamente el problema, utilizando una cadena de valor donde y los dintos procesos afectados.</t>
  </si>
  <si>
    <t>Identifica los afectados y las diferentes actividades que se verán intervenidas.</t>
  </si>
  <si>
    <t>Identifica los afectados y menciona superficialmente las actividades que estos realizan.</t>
  </si>
  <si>
    <t>Identifica los afectdos pero no las actividades que realizan.</t>
  </si>
  <si>
    <t>No identifica los afectados.</t>
  </si>
  <si>
    <t>La solución no satisface la necesidad del cliente.</t>
  </si>
  <si>
    <t>Explica la solución pero esta no cumple con la necesidad del cliente.</t>
  </si>
  <si>
    <t>Identifica la solución al problema no cumpliendo totalmente con la necesidad del cliente.</t>
  </si>
  <si>
    <t>Identifica la solución al cliente, satisfaciendo complemente la necesidad del problema.</t>
  </si>
  <si>
    <t>Define correctamente objetivo general del proyecto y sus objetivos específicos.</t>
  </si>
  <si>
    <t>Define correctamente el objetivo general, sin dejar claro los objetivos específicos.</t>
  </si>
  <si>
    <t>Presenta el objetivo general de proyecto, sin presentar los objetivos específicos del proyecto.</t>
  </si>
  <si>
    <t>No presenta objetivos coherentes con el proyecto.</t>
  </si>
  <si>
    <t>No identifica correctamente a los beneficiados del proyecto.</t>
  </si>
  <si>
    <t>Identifica a los beneficiados sin comentar por que son afectados.</t>
  </si>
  <si>
    <t>Identifica a los beneficiados del proyecto indicando superficialmente por que son afectados.</t>
  </si>
  <si>
    <t>Identifica correctamente a los beneficiados justificado el por que son afectados.</t>
  </si>
  <si>
    <t>Expone y detalla el ciclo de vida y metodología del desarrollo a utilizar, indicando cada una de sus etapas.</t>
  </si>
  <si>
    <t>Explica el ciclo de vida y metodología a utilizar sin indicar las etapas correspondientes.</t>
  </si>
  <si>
    <t>Menciona sin profundizar el ciclo de vida y/o metodología a utilizar.</t>
  </si>
  <si>
    <t>No explica correctamente el ciclo de vida y/o metodología a emplear.</t>
  </si>
  <si>
    <t>Explica los criterios de elección de la tecnología y los respectivos beneficios de las tecnologías.</t>
  </si>
  <si>
    <t>Explica los criterios de elección de las tecnologías a utilizar, sin mencionar sus beneficios.</t>
  </si>
  <si>
    <t>Menciona sin profundizar las tecnologías a utilizar.</t>
  </si>
  <si>
    <t>No justifica correctamente las tecnologías a utilizar.</t>
  </si>
  <si>
    <t>RÚBRICA  PPT CONTENIDO ESPECÍFICO (100%)</t>
  </si>
  <si>
    <t>RÚBRICA  INFORME CONTENIDO ESPECÍFICO (100%)</t>
  </si>
  <si>
    <t>Diagrama de casos de uso</t>
  </si>
  <si>
    <t>Realiza correctamente la diagramación de los casos de uso a ser considerados en los procesos de negocio relevantes de la solución</t>
  </si>
  <si>
    <t>Presenta un diagrama de casos de uso de forma de que se entienden los procesos de negocio relevantes, sin considerar las relaciones entre ellos</t>
  </si>
  <si>
    <t>Diagrama de forma superficial los procesos de negocio</t>
  </si>
  <si>
    <t>Presernta un diagrama básico sin entrar en profundidad en el proceso a ser evaluado, presentando errores en su diagrama</t>
  </si>
  <si>
    <t>No observado</t>
  </si>
  <si>
    <t>Análisis de la propuesta de negocio</t>
  </si>
  <si>
    <t>Se realiza un estudio FODA y de 5 fuerzas definiendo claramente un objetivo sobre el cuál realizar el estudio, así como los resultados claves</t>
  </si>
  <si>
    <t>Se realiza el estudio FODA sin obtener un resultado coherente y un estudo de 5 fuerzas de Porter de forma correcta</t>
  </si>
  <si>
    <t>Se realiza un estudio FODA sin mencionar objetivo o resultados claros. El estudio de 5 fuerzas presenta problemas en los resultados</t>
  </si>
  <si>
    <t>Se realiza un estudio FODA sin mencionar objetivo o resultados, el estudio de 5 fuerzas no es concluyente</t>
  </si>
  <si>
    <t xml:space="preserve">Elección de las tecnologías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</si>
</sst>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2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8"/>
      <name val="Calibri Light"/>
      <family val="2"/>
    </font>
    <font>
      <sz val="12"/>
      <name val="Calibri Light"/>
      <family val="2"/>
    </font>
    <font>
      <b/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0000"/>
      <name val="Calibri Light"/>
      <family val="2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 Light"/>
      <family val="2"/>
    </font>
    <font>
      <b/>
      <i/>
      <sz val="9"/>
      <color rgb="FFF57B17"/>
      <name val="Calibri Light"/>
      <family val="2"/>
    </font>
    <font>
      <b/>
      <sz val="9"/>
      <color theme="1"/>
      <name val="Calibri Light"/>
      <family val="2"/>
    </font>
    <font>
      <i/>
      <sz val="9"/>
      <color rgb="FFF57B17"/>
      <name val="Calibri Light"/>
      <family val="2"/>
    </font>
    <font>
      <b/>
      <i/>
      <sz val="11"/>
      <color rgb="FFF57B17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rgb="FF9933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theme="0" tint="-0.499984740745262"/>
      </left>
      <right/>
      <top style="thin">
        <color auto="1"/>
      </top>
      <bottom style="thin">
        <color auto="1"/>
      </bottom>
      <diagonal/>
    </border>
    <border>
      <left/>
      <right style="hair">
        <color theme="0" tint="-0.499984740745262"/>
      </right>
      <top style="thin">
        <color auto="1"/>
      </top>
      <bottom style="thin">
        <color auto="1"/>
      </bottom>
      <diagonal/>
    </border>
    <border>
      <left style="hair">
        <color theme="0" tint="-0.499984740745262"/>
      </left>
      <right/>
      <top style="thin">
        <color auto="1"/>
      </top>
      <bottom/>
      <diagonal/>
    </border>
    <border>
      <left style="hair">
        <color theme="0" tint="-0.499984740745262"/>
      </left>
      <right/>
      <top/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theme="0" tint="-0.49998474074526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theme="0" tint="-0.499984740745262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theme="0" tint="-0.499984740745262"/>
      </left>
      <right/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hair">
        <color theme="0" tint="-0.499984740745262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5">
    <xf numFmtId="0" fontId="0" fillId="0" borderId="0"/>
    <xf numFmtId="9" fontId="12" fillId="0" borderId="0" applyFont="0" applyFill="0" applyBorder="0" applyAlignment="0" applyProtection="0"/>
    <xf numFmtId="0" fontId="12" fillId="0" borderId="0"/>
    <xf numFmtId="0" fontId="13" fillId="0" borderId="0"/>
    <xf numFmtId="0" fontId="14" fillId="5" borderId="12" applyNumberFormat="0" applyAlignment="0" applyProtection="0"/>
  </cellStyleXfs>
  <cellXfs count="156">
    <xf numFmtId="0" fontId="0" fillId="0" borderId="0" xfId="0"/>
    <xf numFmtId="0" fontId="0" fillId="0" borderId="0" xfId="0" applyProtection="1"/>
    <xf numFmtId="0" fontId="0" fillId="3" borderId="0" xfId="0" applyFill="1"/>
    <xf numFmtId="9" fontId="0" fillId="3" borderId="0" xfId="1" applyFont="1" applyFill="1"/>
    <xf numFmtId="164" fontId="0" fillId="0" borderId="0" xfId="0" applyNumberFormat="1"/>
    <xf numFmtId="0" fontId="12" fillId="0" borderId="0" xfId="2" applyProtection="1"/>
    <xf numFmtId="0" fontId="7" fillId="0" borderId="0" xfId="2" applyFont="1" applyBorder="1" applyAlignment="1" applyProtection="1"/>
    <xf numFmtId="0" fontId="12" fillId="0" borderId="0" xfId="2" applyAlignment="1" applyProtection="1">
      <alignment wrapText="1"/>
    </xf>
    <xf numFmtId="0" fontId="12" fillId="0" borderId="0" xfId="2" applyAlignment="1" applyProtection="1">
      <alignment horizontal="center" vertical="center"/>
    </xf>
    <xf numFmtId="0" fontId="5" fillId="0" borderId="0" xfId="2" applyFont="1" applyAlignment="1" applyProtection="1">
      <alignment horizontal="right"/>
    </xf>
    <xf numFmtId="0" fontId="12" fillId="0" borderId="0" xfId="2" applyAlignment="1" applyProtection="1">
      <alignment vertical="center"/>
    </xf>
    <xf numFmtId="20" fontId="5" fillId="0" borderId="0" xfId="2" applyNumberFormat="1" applyFont="1" applyAlignment="1" applyProtection="1">
      <alignment horizontal="right"/>
    </xf>
    <xf numFmtId="0" fontId="6" fillId="0" borderId="0" xfId="2" applyFont="1" applyBorder="1" applyAlignment="1" applyProtection="1"/>
    <xf numFmtId="0" fontId="13" fillId="0" borderId="0" xfId="3" applyProtection="1"/>
    <xf numFmtId="0" fontId="0" fillId="0" borderId="0" xfId="2" applyFont="1" applyProtection="1"/>
    <xf numFmtId="164" fontId="16" fillId="0" borderId="7" xfId="2" applyNumberFormat="1" applyFont="1" applyBorder="1" applyAlignment="1" applyProtection="1">
      <alignment horizontal="center" vertical="center" wrapText="1"/>
    </xf>
    <xf numFmtId="164" fontId="16" fillId="0" borderId="4" xfId="2" applyNumberFormat="1" applyFont="1" applyBorder="1" applyAlignment="1" applyProtection="1">
      <alignment horizontal="center" vertical="center" wrapText="1"/>
    </xf>
    <xf numFmtId="164" fontId="17" fillId="0" borderId="7" xfId="2" applyNumberFormat="1" applyFont="1" applyBorder="1" applyAlignment="1" applyProtection="1">
      <alignment horizontal="center" vertical="center" wrapText="1"/>
    </xf>
    <xf numFmtId="0" fontId="8" fillId="2" borderId="20" xfId="2" applyFont="1" applyFill="1" applyBorder="1" applyAlignment="1" applyProtection="1">
      <alignment horizontal="center" vertical="center" wrapText="1"/>
    </xf>
    <xf numFmtId="0" fontId="0" fillId="0" borderId="0" xfId="0" applyAlignment="1" applyProtection="1"/>
    <xf numFmtId="0" fontId="15" fillId="2" borderId="11" xfId="2" applyFont="1" applyFill="1" applyBorder="1" applyAlignment="1" applyProtection="1">
      <alignment horizontal="center" vertical="center" wrapText="1"/>
    </xf>
    <xf numFmtId="9" fontId="13" fillId="0" borderId="0" xfId="3" applyNumberFormat="1" applyProtection="1"/>
    <xf numFmtId="0" fontId="10" fillId="0" borderId="1" xfId="0" applyFont="1" applyBorder="1" applyAlignment="1" applyProtection="1">
      <alignment horizontal="center" vertical="center" wrapText="1"/>
    </xf>
    <xf numFmtId="2" fontId="10" fillId="0" borderId="3" xfId="0" applyNumberFormat="1" applyFont="1" applyBorder="1" applyAlignment="1" applyProtection="1">
      <alignment horizontal="center" vertical="center"/>
    </xf>
    <xf numFmtId="9" fontId="10" fillId="0" borderId="28" xfId="0" applyNumberFormat="1" applyFont="1" applyBorder="1" applyAlignment="1" applyProtection="1">
      <alignment horizontal="center" vertical="center"/>
    </xf>
    <xf numFmtId="9" fontId="10" fillId="0" borderId="29" xfId="0" applyNumberFormat="1" applyFont="1" applyBorder="1" applyAlignment="1" applyProtection="1">
      <alignment horizontal="center" vertical="center"/>
    </xf>
    <xf numFmtId="9" fontId="10" fillId="0" borderId="34" xfId="0" applyNumberFormat="1" applyFont="1" applyBorder="1" applyAlignment="1" applyProtection="1">
      <alignment horizontal="center" vertical="center"/>
    </xf>
    <xf numFmtId="2" fontId="10" fillId="0" borderId="35" xfId="0" applyNumberFormat="1" applyFont="1" applyBorder="1" applyAlignment="1" applyProtection="1">
      <alignment horizontal="center" vertical="center"/>
    </xf>
    <xf numFmtId="9" fontId="10" fillId="0" borderId="36" xfId="0" applyNumberFormat="1" applyFont="1" applyBorder="1" applyAlignment="1" applyProtection="1">
      <alignment horizontal="center" vertical="center"/>
    </xf>
    <xf numFmtId="2" fontId="10" fillId="0" borderId="37" xfId="0" applyNumberFormat="1" applyFont="1" applyBorder="1" applyAlignment="1" applyProtection="1">
      <alignment horizontal="center" vertical="center"/>
    </xf>
    <xf numFmtId="0" fontId="12" fillId="0" borderId="0" xfId="2" applyAlignment="1" applyProtection="1">
      <alignment horizontal="center" vertical="center"/>
    </xf>
    <xf numFmtId="0" fontId="1" fillId="2" borderId="5" xfId="2" applyFont="1" applyFill="1" applyBorder="1" applyAlignment="1" applyProtection="1">
      <alignment horizontal="center" vertical="center" wrapText="1"/>
    </xf>
    <xf numFmtId="0" fontId="15" fillId="2" borderId="22" xfId="2" applyFont="1" applyFill="1" applyBorder="1" applyAlignment="1" applyProtection="1">
      <alignment horizontal="center" vertical="center" wrapText="1"/>
    </xf>
    <xf numFmtId="0" fontId="1" fillId="2" borderId="38" xfId="2" applyFont="1" applyFill="1" applyBorder="1" applyAlignment="1" applyProtection="1">
      <alignment horizontal="center" vertical="center" wrapText="1"/>
    </xf>
    <xf numFmtId="0" fontId="12" fillId="0" borderId="0" xfId="2" applyAlignment="1" applyProtection="1">
      <alignment horizontal="center" vertical="center"/>
    </xf>
    <xf numFmtId="0" fontId="15" fillId="2" borderId="22" xfId="2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 applyProtection="1">
      <alignment horizontal="center" vertical="center" wrapText="1"/>
    </xf>
    <xf numFmtId="0" fontId="22" fillId="9" borderId="4" xfId="2" applyFont="1" applyFill="1" applyBorder="1" applyAlignment="1" applyProtection="1">
      <alignment horizontal="center" vertical="center" wrapText="1"/>
    </xf>
    <xf numFmtId="0" fontId="22" fillId="8" borderId="4" xfId="2" applyFont="1" applyFill="1" applyBorder="1" applyAlignment="1" applyProtection="1">
      <alignment horizontal="center" vertical="center" wrapText="1"/>
    </xf>
    <xf numFmtId="0" fontId="4" fillId="9" borderId="4" xfId="2" applyFont="1" applyFill="1" applyBorder="1" applyAlignment="1" applyProtection="1">
      <alignment horizontal="center" vertical="center" wrapText="1"/>
      <protection locked="0"/>
    </xf>
    <xf numFmtId="0" fontId="4" fillId="8" borderId="4" xfId="2" applyFont="1" applyFill="1" applyBorder="1" applyAlignment="1" applyProtection="1">
      <alignment horizontal="center" vertical="center" wrapText="1"/>
      <protection locked="0"/>
    </xf>
    <xf numFmtId="0" fontId="12" fillId="0" borderId="0" xfId="2" applyAlignment="1" applyProtection="1">
      <alignment horizontal="center" vertical="center"/>
    </xf>
    <xf numFmtId="0" fontId="23" fillId="0" borderId="0" xfId="0" applyFont="1" applyProtection="1"/>
    <xf numFmtId="0" fontId="15" fillId="2" borderId="22" xfId="2" applyFont="1" applyFill="1" applyBorder="1" applyAlignment="1" applyProtection="1">
      <alignment horizontal="center" vertical="center" wrapText="1"/>
    </xf>
    <xf numFmtId="0" fontId="1" fillId="2" borderId="5" xfId="2" applyFont="1" applyFill="1" applyBorder="1" applyAlignment="1" applyProtection="1">
      <alignment horizontal="center" vertical="center" wrapText="1"/>
    </xf>
    <xf numFmtId="0" fontId="12" fillId="0" borderId="0" xfId="2" applyAlignment="1" applyProtection="1">
      <alignment horizontal="center" vertical="center"/>
    </xf>
    <xf numFmtId="9" fontId="10" fillId="0" borderId="43" xfId="0" applyNumberFormat="1" applyFont="1" applyBorder="1" applyAlignment="1" applyProtection="1">
      <alignment horizontal="center" vertical="center"/>
    </xf>
    <xf numFmtId="2" fontId="10" fillId="0" borderId="44" xfId="0" applyNumberFormat="1" applyFont="1" applyBorder="1" applyAlignment="1" applyProtection="1">
      <alignment horizontal="center" vertical="center"/>
    </xf>
    <xf numFmtId="0" fontId="18" fillId="9" borderId="47" xfId="4" applyFont="1" applyFill="1" applyBorder="1" applyAlignment="1" applyProtection="1">
      <alignment horizontal="center" vertical="top" wrapText="1"/>
    </xf>
    <xf numFmtId="0" fontId="17" fillId="6" borderId="48" xfId="2" applyFont="1" applyFill="1" applyBorder="1" applyAlignment="1" applyProtection="1">
      <alignment horizontal="center" vertical="center" wrapText="1"/>
      <protection locked="0"/>
    </xf>
    <xf numFmtId="0" fontId="18" fillId="8" borderId="47" xfId="4" applyFont="1" applyFill="1" applyBorder="1" applyAlignment="1" applyProtection="1">
      <alignment horizontal="center" vertical="top" wrapText="1"/>
    </xf>
    <xf numFmtId="0" fontId="24" fillId="9" borderId="4" xfId="2" applyFont="1" applyFill="1" applyBorder="1" applyAlignment="1" applyProtection="1">
      <alignment horizontal="justify" vertical="center" wrapText="1"/>
    </xf>
    <xf numFmtId="0" fontId="24" fillId="8" borderId="4" xfId="2" applyFont="1" applyFill="1" applyBorder="1" applyAlignment="1" applyProtection="1">
      <alignment horizontal="justify" vertical="center" wrapText="1"/>
    </xf>
    <xf numFmtId="0" fontId="0" fillId="0" borderId="48" xfId="2" applyFont="1" applyBorder="1" applyAlignment="1" applyProtection="1">
      <alignment horizontal="center" vertical="center"/>
      <protection locked="0"/>
    </xf>
    <xf numFmtId="0" fontId="12" fillId="0" borderId="0" xfId="2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 vertical="center" wrapText="1"/>
    </xf>
    <xf numFmtId="0" fontId="29" fillId="4" borderId="4" xfId="2" applyFont="1" applyFill="1" applyBorder="1" applyAlignment="1" applyProtection="1">
      <alignment horizontal="center" vertical="center" wrapText="1"/>
    </xf>
    <xf numFmtId="0" fontId="25" fillId="4" borderId="24" xfId="2" applyFont="1" applyFill="1" applyBorder="1" applyAlignment="1" applyProtection="1">
      <alignment vertical="center" wrapText="1"/>
    </xf>
    <xf numFmtId="0" fontId="25" fillId="4" borderId="9" xfId="2" applyFont="1" applyFill="1" applyBorder="1" applyAlignment="1" applyProtection="1">
      <alignment vertical="center" wrapText="1"/>
    </xf>
    <xf numFmtId="0" fontId="25" fillId="4" borderId="38" xfId="2" applyFont="1" applyFill="1" applyBorder="1" applyAlignment="1" applyProtection="1">
      <alignment vertical="center" wrapText="1"/>
    </xf>
    <xf numFmtId="0" fontId="25" fillId="4" borderId="50" xfId="2" applyFont="1" applyFill="1" applyBorder="1" applyAlignment="1" applyProtection="1">
      <alignment vertical="center" wrapText="1"/>
    </xf>
    <xf numFmtId="0" fontId="5" fillId="0" borderId="0" xfId="2" applyFont="1" applyAlignment="1" applyProtection="1">
      <alignment horizontal="left" wrapText="1"/>
    </xf>
    <xf numFmtId="0" fontId="5" fillId="0" borderId="0" xfId="2" applyFont="1" applyAlignment="1" applyProtection="1">
      <alignment horizontal="left" vertical="center" wrapText="1"/>
    </xf>
    <xf numFmtId="0" fontId="0" fillId="0" borderId="0" xfId="2" applyFont="1" applyAlignment="1" applyProtection="1">
      <alignment vertical="center" wrapText="1"/>
    </xf>
    <xf numFmtId="0" fontId="30" fillId="6" borderId="2" xfId="2" applyFont="1" applyFill="1" applyBorder="1" applyAlignment="1" applyProtection="1">
      <alignment vertical="center" wrapText="1"/>
      <protection locked="0"/>
    </xf>
    <xf numFmtId="0" fontId="27" fillId="10" borderId="4" xfId="2" applyFont="1" applyFill="1" applyBorder="1" applyAlignment="1" applyProtection="1">
      <alignment horizontal="center" vertical="center" wrapText="1"/>
    </xf>
    <xf numFmtId="0" fontId="25" fillId="8" borderId="51" xfId="2" applyFont="1" applyFill="1" applyBorder="1" applyAlignment="1" applyProtection="1">
      <alignment vertical="center" wrapText="1"/>
    </xf>
    <xf numFmtId="0" fontId="25" fillId="8" borderId="24" xfId="2" applyFont="1" applyFill="1" applyBorder="1" applyAlignment="1" applyProtection="1">
      <alignment vertical="center" wrapText="1"/>
    </xf>
    <xf numFmtId="0" fontId="25" fillId="8" borderId="9" xfId="2" applyFont="1" applyFill="1" applyBorder="1" applyAlignment="1" applyProtection="1">
      <alignment vertical="center" wrapText="1"/>
    </xf>
    <xf numFmtId="0" fontId="17" fillId="6" borderId="54" xfId="2" applyFont="1" applyFill="1" applyBorder="1" applyAlignment="1" applyProtection="1">
      <alignment horizontal="center" vertical="center" wrapText="1"/>
      <protection locked="0"/>
    </xf>
    <xf numFmtId="0" fontId="0" fillId="0" borderId="54" xfId="2" applyFont="1" applyBorder="1" applyAlignment="1" applyProtection="1">
      <alignment horizontal="center" vertical="center"/>
      <protection locked="0"/>
    </xf>
    <xf numFmtId="0" fontId="7" fillId="0" borderId="0" xfId="2" applyFont="1" applyBorder="1" applyAlignment="1" applyProtection="1">
      <alignment horizontal="center"/>
    </xf>
    <xf numFmtId="0" fontId="4" fillId="0" borderId="7" xfId="2" applyFont="1" applyBorder="1" applyAlignment="1" applyProtection="1">
      <alignment horizontal="left" vertical="center" wrapText="1"/>
      <protection locked="0"/>
    </xf>
    <xf numFmtId="0" fontId="6" fillId="0" borderId="13" xfId="2" applyFont="1" applyBorder="1" applyAlignment="1" applyProtection="1">
      <alignment horizontal="center"/>
    </xf>
    <xf numFmtId="0" fontId="0" fillId="0" borderId="0" xfId="2" applyFont="1" applyAlignment="1" applyProtection="1">
      <alignment horizontal="center" vertical="center"/>
    </xf>
    <xf numFmtId="0" fontId="12" fillId="0" borderId="0" xfId="2" applyAlignment="1" applyProtection="1">
      <alignment horizontal="center" vertical="center"/>
    </xf>
    <xf numFmtId="0" fontId="10" fillId="0" borderId="15" xfId="0" applyFont="1" applyBorder="1" applyAlignment="1" applyProtection="1">
      <alignment horizontal="center" vertical="center" wrapText="1"/>
    </xf>
    <xf numFmtId="0" fontId="10" fillId="0" borderId="14" xfId="0" applyFont="1" applyBorder="1" applyAlignment="1" applyProtection="1">
      <alignment horizontal="center" vertical="center" wrapText="1"/>
    </xf>
    <xf numFmtId="0" fontId="10" fillId="0" borderId="39" xfId="0" applyFont="1" applyBorder="1" applyAlignment="1" applyProtection="1">
      <alignment horizontal="center" vertical="center"/>
    </xf>
    <xf numFmtId="9" fontId="10" fillId="0" borderId="30" xfId="0" applyNumberFormat="1" applyFont="1" applyBorder="1" applyAlignment="1" applyProtection="1">
      <alignment horizontal="center" vertical="center"/>
    </xf>
    <xf numFmtId="9" fontId="10" fillId="0" borderId="31" xfId="0" applyNumberFormat="1" applyFont="1" applyBorder="1" applyAlignment="1" applyProtection="1">
      <alignment horizontal="center" vertical="center"/>
    </xf>
    <xf numFmtId="9" fontId="10" fillId="0" borderId="40" xfId="0" applyNumberFormat="1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left"/>
    </xf>
    <xf numFmtId="0" fontId="10" fillId="0" borderId="33" xfId="0" applyFont="1" applyBorder="1" applyAlignment="1" applyProtection="1">
      <alignment horizontal="left"/>
    </xf>
    <xf numFmtId="2" fontId="10" fillId="0" borderId="16" xfId="0" applyNumberFormat="1" applyFont="1" applyBorder="1" applyAlignment="1" applyProtection="1">
      <alignment horizontal="center" vertical="center"/>
    </xf>
    <xf numFmtId="2" fontId="10" fillId="0" borderId="8" xfId="0" applyNumberFormat="1" applyFont="1" applyBorder="1" applyAlignment="1" applyProtection="1">
      <alignment horizontal="center" vertical="center"/>
    </xf>
    <xf numFmtId="2" fontId="10" fillId="0" borderId="45" xfId="0" applyNumberFormat="1" applyFont="1" applyBorder="1" applyAlignment="1" applyProtection="1">
      <alignment horizontal="center" vertical="center"/>
    </xf>
    <xf numFmtId="0" fontId="11" fillId="2" borderId="25" xfId="0" applyFont="1" applyFill="1" applyBorder="1" applyAlignment="1" applyProtection="1">
      <alignment horizontal="center" vertical="center"/>
    </xf>
    <xf numFmtId="0" fontId="11" fillId="2" borderId="25" xfId="0" applyFont="1" applyFill="1" applyBorder="1" applyAlignment="1" applyProtection="1">
      <alignment horizontal="center"/>
    </xf>
    <xf numFmtId="0" fontId="10" fillId="0" borderId="17" xfId="0" applyFont="1" applyBorder="1" applyAlignment="1" applyProtection="1">
      <alignment horizontal="left"/>
    </xf>
    <xf numFmtId="0" fontId="10" fillId="0" borderId="18" xfId="0" applyFont="1" applyBorder="1" applyAlignment="1" applyProtection="1">
      <alignment horizontal="left"/>
    </xf>
    <xf numFmtId="0" fontId="10" fillId="0" borderId="41" xfId="0" applyFont="1" applyBorder="1" applyAlignment="1" applyProtection="1">
      <alignment horizontal="left"/>
    </xf>
    <xf numFmtId="0" fontId="10" fillId="0" borderId="42" xfId="0" applyFont="1" applyBorder="1" applyAlignment="1" applyProtection="1">
      <alignment horizontal="left"/>
    </xf>
    <xf numFmtId="0" fontId="12" fillId="0" borderId="0" xfId="2" applyFont="1" applyAlignment="1" applyProtection="1">
      <alignment horizontal="left" vertical="center"/>
    </xf>
    <xf numFmtId="0" fontId="0" fillId="0" borderId="0" xfId="2" applyFont="1" applyAlignment="1" applyProtection="1">
      <alignment horizontal="left" vertical="center"/>
      <protection locked="0"/>
    </xf>
    <xf numFmtId="0" fontId="12" fillId="0" borderId="0" xfId="2" applyFont="1" applyAlignment="1" applyProtection="1">
      <alignment horizontal="left" vertical="center"/>
      <protection locked="0"/>
    </xf>
    <xf numFmtId="20" fontId="12" fillId="0" borderId="0" xfId="2" applyNumberFormat="1" applyAlignment="1" applyProtection="1">
      <alignment horizontal="center" vertical="center"/>
      <protection locked="0"/>
    </xf>
    <xf numFmtId="20" fontId="12" fillId="0" borderId="0" xfId="2" applyNumberFormat="1" applyAlignment="1" applyProtection="1">
      <alignment horizontal="center" vertical="center"/>
    </xf>
    <xf numFmtId="0" fontId="8" fillId="2" borderId="20" xfId="2" applyFont="1" applyFill="1" applyBorder="1" applyAlignment="1" applyProtection="1">
      <alignment horizontal="center" vertical="center" wrapText="1"/>
    </xf>
    <xf numFmtId="0" fontId="9" fillId="0" borderId="46" xfId="0" applyFont="1" applyFill="1" applyBorder="1" applyAlignment="1" applyProtection="1">
      <alignment horizontal="center"/>
    </xf>
    <xf numFmtId="0" fontId="9" fillId="0" borderId="6" xfId="0" applyFont="1" applyFill="1" applyBorder="1" applyAlignment="1" applyProtection="1">
      <alignment horizontal="center"/>
    </xf>
    <xf numFmtId="164" fontId="26" fillId="0" borderId="26" xfId="3" applyNumberFormat="1" applyFont="1" applyBorder="1" applyAlignment="1" applyProtection="1">
      <alignment horizontal="center" vertical="center"/>
    </xf>
    <xf numFmtId="164" fontId="26" fillId="0" borderId="16" xfId="3" applyNumberFormat="1" applyFont="1" applyBorder="1" applyAlignment="1" applyProtection="1">
      <alignment horizontal="center" vertical="center"/>
    </xf>
    <xf numFmtId="164" fontId="26" fillId="0" borderId="0" xfId="3" applyNumberFormat="1" applyFont="1" applyBorder="1" applyAlignment="1" applyProtection="1">
      <alignment horizontal="center" vertical="center"/>
    </xf>
    <xf numFmtId="164" fontId="26" fillId="0" borderId="8" xfId="3" applyNumberFormat="1" applyFont="1" applyBorder="1" applyAlignment="1" applyProtection="1">
      <alignment horizontal="center" vertical="center"/>
    </xf>
    <xf numFmtId="164" fontId="26" fillId="0" borderId="27" xfId="3" applyNumberFormat="1" applyFont="1" applyBorder="1" applyAlignment="1" applyProtection="1">
      <alignment horizontal="center" vertical="center"/>
    </xf>
    <xf numFmtId="164" fontId="26" fillId="0" borderId="45" xfId="3" applyNumberFormat="1" applyFont="1" applyBorder="1" applyAlignment="1" applyProtection="1">
      <alignment horizontal="center" vertical="center"/>
    </xf>
    <xf numFmtId="0" fontId="10" fillId="0" borderId="1" xfId="0" applyFont="1" applyBorder="1" applyAlignment="1" applyProtection="1">
      <alignment horizontal="left"/>
    </xf>
    <xf numFmtId="0" fontId="10" fillId="0" borderId="2" xfId="0" applyFont="1" applyBorder="1" applyAlignment="1" applyProtection="1">
      <alignment horizontal="left"/>
    </xf>
    <xf numFmtId="0" fontId="22" fillId="9" borderId="47" xfId="2" applyFont="1" applyFill="1" applyBorder="1" applyAlignment="1" applyProtection="1">
      <alignment horizontal="center" vertical="center" wrapText="1"/>
    </xf>
    <xf numFmtId="0" fontId="22" fillId="9" borderId="48" xfId="2" applyFont="1" applyFill="1" applyBorder="1" applyAlignment="1" applyProtection="1">
      <alignment horizontal="center" vertical="center" wrapText="1"/>
    </xf>
    <xf numFmtId="0" fontId="19" fillId="9" borderId="49" xfId="4" applyFont="1" applyFill="1" applyBorder="1" applyAlignment="1" applyProtection="1">
      <alignment horizontal="center" vertical="center" wrapText="1"/>
    </xf>
    <xf numFmtId="0" fontId="1" fillId="7" borderId="5" xfId="0" applyFont="1" applyFill="1" applyBorder="1" applyAlignment="1" applyProtection="1">
      <alignment horizontal="center" vertical="center"/>
    </xf>
    <xf numFmtId="0" fontId="1" fillId="7" borderId="11" xfId="0" applyFont="1" applyFill="1" applyBorder="1" applyAlignment="1" applyProtection="1">
      <alignment horizontal="center" vertical="center"/>
    </xf>
    <xf numFmtId="0" fontId="1" fillId="2" borderId="23" xfId="2" applyFont="1" applyFill="1" applyBorder="1" applyAlignment="1" applyProtection="1">
      <alignment horizontal="center" vertical="center" wrapText="1"/>
    </xf>
    <xf numFmtId="0" fontId="1" fillId="2" borderId="24" xfId="2" applyFont="1" applyFill="1" applyBorder="1" applyAlignment="1" applyProtection="1">
      <alignment horizontal="center" vertical="center" wrapText="1"/>
    </xf>
    <xf numFmtId="0" fontId="1" fillId="2" borderId="9" xfId="2" applyFont="1" applyFill="1" applyBorder="1" applyAlignment="1" applyProtection="1">
      <alignment horizontal="center" vertical="center" wrapText="1"/>
    </xf>
    <xf numFmtId="0" fontId="15" fillId="2" borderId="21" xfId="2" applyFont="1" applyFill="1" applyBorder="1" applyAlignment="1" applyProtection="1">
      <alignment horizontal="center" vertical="center" wrapText="1"/>
    </xf>
    <xf numFmtId="0" fontId="15" fillId="2" borderId="22" xfId="2" applyFont="1" applyFill="1" applyBorder="1" applyAlignment="1" applyProtection="1">
      <alignment horizontal="center" vertical="center" wrapText="1"/>
    </xf>
    <xf numFmtId="0" fontId="22" fillId="8" borderId="47" xfId="2" applyFont="1" applyFill="1" applyBorder="1" applyAlignment="1" applyProtection="1">
      <alignment horizontal="center" vertical="center" wrapText="1"/>
    </xf>
    <xf numFmtId="0" fontId="22" fillId="8" borderId="48" xfId="2" applyFont="1" applyFill="1" applyBorder="1" applyAlignment="1" applyProtection="1">
      <alignment horizontal="center" vertical="center" wrapText="1"/>
    </xf>
    <xf numFmtId="0" fontId="19" fillId="8" borderId="49" xfId="4" applyFont="1" applyFill="1" applyBorder="1" applyAlignment="1" applyProtection="1">
      <alignment horizontal="center" vertical="center" wrapText="1"/>
    </xf>
    <xf numFmtId="0" fontId="6" fillId="0" borderId="0" xfId="2" applyFont="1" applyBorder="1" applyAlignment="1" applyProtection="1">
      <alignment horizontal="center"/>
    </xf>
    <xf numFmtId="0" fontId="3" fillId="0" borderId="6" xfId="2" applyFont="1" applyBorder="1" applyAlignment="1" applyProtection="1">
      <alignment horizontal="center" wrapText="1"/>
    </xf>
    <xf numFmtId="0" fontId="22" fillId="8" borderId="10" xfId="2" applyFont="1" applyFill="1" applyBorder="1" applyAlignment="1" applyProtection="1">
      <alignment horizontal="center" vertical="center" wrapText="1"/>
    </xf>
    <xf numFmtId="0" fontId="22" fillId="8" borderId="7" xfId="2" applyFont="1" applyFill="1" applyBorder="1" applyAlignment="1" applyProtection="1">
      <alignment horizontal="center" vertical="center" wrapText="1"/>
    </xf>
    <xf numFmtId="0" fontId="19" fillId="8" borderId="52" xfId="4" applyFont="1" applyFill="1" applyBorder="1" applyAlignment="1" applyProtection="1">
      <alignment horizontal="center" vertical="center" wrapText="1"/>
    </xf>
    <xf numFmtId="0" fontId="19" fillId="8" borderId="53" xfId="4" applyFont="1" applyFill="1" applyBorder="1" applyAlignment="1" applyProtection="1">
      <alignment horizontal="center" vertical="center" wrapText="1"/>
    </xf>
    <xf numFmtId="0" fontId="25" fillId="9" borderId="51" xfId="2" applyFont="1" applyFill="1" applyBorder="1" applyAlignment="1" applyProtection="1">
      <alignment horizontal="center" vertical="center" wrapText="1"/>
    </xf>
    <xf numFmtId="0" fontId="25" fillId="9" borderId="24" xfId="2" applyFont="1" applyFill="1" applyBorder="1" applyAlignment="1" applyProtection="1">
      <alignment horizontal="center" vertical="center" wrapText="1"/>
    </xf>
    <xf numFmtId="0" fontId="25" fillId="9" borderId="9" xfId="2" applyFont="1" applyFill="1" applyBorder="1" applyAlignment="1" applyProtection="1">
      <alignment horizontal="center" vertical="center" wrapText="1"/>
    </xf>
    <xf numFmtId="0" fontId="0" fillId="0" borderId="0" xfId="2" applyFont="1" applyAlignment="1" applyProtection="1">
      <alignment horizontal="left" vertical="top" wrapText="1"/>
    </xf>
    <xf numFmtId="0" fontId="2" fillId="4" borderId="1" xfId="2" applyFont="1" applyFill="1" applyBorder="1" applyAlignment="1" applyProtection="1">
      <alignment horizontal="center" vertical="center"/>
    </xf>
    <xf numFmtId="0" fontId="2" fillId="4" borderId="2" xfId="2" applyFont="1" applyFill="1" applyBorder="1" applyAlignment="1" applyProtection="1">
      <alignment horizontal="center" vertical="center"/>
    </xf>
    <xf numFmtId="0" fontId="2" fillId="4" borderId="3" xfId="2" applyFont="1" applyFill="1" applyBorder="1" applyAlignment="1" applyProtection="1">
      <alignment horizontal="center" vertical="center"/>
    </xf>
    <xf numFmtId="0" fontId="4" fillId="4" borderId="24" xfId="2" applyFont="1" applyFill="1" applyBorder="1" applyAlignment="1" applyProtection="1">
      <alignment horizontal="center" vertical="center" wrapText="1"/>
    </xf>
    <xf numFmtId="0" fontId="4" fillId="4" borderId="9" xfId="2" applyFont="1" applyFill="1" applyBorder="1" applyAlignment="1" applyProtection="1">
      <alignment horizontal="center" vertical="center" wrapText="1"/>
    </xf>
    <xf numFmtId="0" fontId="28" fillId="0" borderId="1" xfId="2" applyFont="1" applyFill="1" applyBorder="1" applyAlignment="1" applyProtection="1">
      <alignment horizontal="left" vertical="center" wrapText="1"/>
      <protection locked="0"/>
    </xf>
    <xf numFmtId="0" fontId="28" fillId="0" borderId="2" xfId="2" applyFont="1" applyFill="1" applyBorder="1" applyAlignment="1" applyProtection="1">
      <alignment horizontal="left" vertical="center" wrapText="1"/>
      <protection locked="0"/>
    </xf>
    <xf numFmtId="0" fontId="28" fillId="0" borderId="3" xfId="2" applyFont="1" applyFill="1" applyBorder="1" applyAlignment="1" applyProtection="1">
      <alignment horizontal="left" vertical="center" wrapText="1"/>
      <protection locked="0"/>
    </xf>
    <xf numFmtId="0" fontId="25" fillId="8" borderId="51" xfId="2" applyFont="1" applyFill="1" applyBorder="1" applyAlignment="1" applyProtection="1">
      <alignment horizontal="center" vertical="center" wrapText="1"/>
    </xf>
    <xf numFmtId="0" fontId="25" fillId="8" borderId="24" xfId="2" applyFont="1" applyFill="1" applyBorder="1" applyAlignment="1" applyProtection="1">
      <alignment horizontal="center" vertical="center" wrapText="1"/>
    </xf>
    <xf numFmtId="0" fontId="25" fillId="8" borderId="9" xfId="2" applyFont="1" applyFill="1" applyBorder="1" applyAlignment="1" applyProtection="1">
      <alignment horizontal="center" vertical="center" wrapText="1"/>
    </xf>
    <xf numFmtId="0" fontId="2" fillId="4" borderId="1" xfId="2" applyFont="1" applyFill="1" applyBorder="1" applyAlignment="1" applyProtection="1">
      <alignment horizontal="center" vertical="center" wrapText="1"/>
    </xf>
    <xf numFmtId="0" fontId="2" fillId="4" borderId="2" xfId="2" applyFont="1" applyFill="1" applyBorder="1" applyAlignment="1" applyProtection="1">
      <alignment horizontal="center" vertical="center" wrapText="1"/>
    </xf>
    <xf numFmtId="0" fontId="21" fillId="2" borderId="11" xfId="2" applyFont="1" applyFill="1" applyBorder="1" applyAlignment="1" applyProtection="1">
      <alignment horizontal="center" vertical="center" wrapText="1"/>
    </xf>
    <xf numFmtId="0" fontId="21" fillId="2" borderId="19" xfId="2" applyFont="1" applyFill="1" applyBorder="1" applyAlignment="1" applyProtection="1">
      <alignment horizontal="center" vertical="center" wrapText="1"/>
    </xf>
    <xf numFmtId="0" fontId="1" fillId="2" borderId="21" xfId="2" applyFont="1" applyFill="1" applyBorder="1" applyAlignment="1" applyProtection="1">
      <alignment horizontal="center" vertical="center" wrapText="1"/>
    </xf>
    <xf numFmtId="0" fontId="1" fillId="2" borderId="22" xfId="2" applyFont="1" applyFill="1" applyBorder="1" applyAlignment="1" applyProtection="1">
      <alignment horizontal="center" vertical="center" wrapText="1"/>
    </xf>
    <xf numFmtId="0" fontId="8" fillId="2" borderId="5" xfId="2" applyFont="1" applyFill="1" applyBorder="1" applyAlignment="1" applyProtection="1">
      <alignment horizontal="center" vertical="center" wrapText="1"/>
    </xf>
    <xf numFmtId="0" fontId="3" fillId="0" borderId="0" xfId="2" applyFont="1" applyBorder="1" applyAlignment="1" applyProtection="1">
      <alignment horizontal="center" wrapText="1"/>
    </xf>
    <xf numFmtId="0" fontId="19" fillId="9" borderId="10" xfId="4" applyFont="1" applyFill="1" applyBorder="1" applyAlignment="1" applyProtection="1">
      <alignment horizontal="center" vertical="center" wrapText="1"/>
    </xf>
    <xf numFmtId="0" fontId="19" fillId="9" borderId="7" xfId="4" applyFont="1" applyFill="1" applyBorder="1" applyAlignment="1" applyProtection="1">
      <alignment horizontal="center" vertical="center" wrapText="1"/>
    </xf>
    <xf numFmtId="0" fontId="19" fillId="8" borderId="10" xfId="4" applyFont="1" applyFill="1" applyBorder="1" applyAlignment="1" applyProtection="1">
      <alignment horizontal="center" vertical="center" wrapText="1"/>
    </xf>
    <xf numFmtId="0" fontId="19" fillId="8" borderId="7" xfId="4" applyFont="1" applyFill="1" applyBorder="1" applyAlignment="1" applyProtection="1">
      <alignment horizontal="center" vertical="center" wrapText="1"/>
    </xf>
    <xf numFmtId="0" fontId="20" fillId="0" borderId="6" xfId="2" applyFont="1" applyBorder="1" applyAlignment="1" applyProtection="1">
      <alignment horizont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orcentaje" xfId="1" builtinId="5"/>
    <cellStyle name="Salida" xfId="4" builtinId="21"/>
  </cellStyles>
  <dxfs count="1">
    <dxf>
      <font>
        <b/>
        <i val="0"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9</xdr:row>
      <xdr:rowOff>85725</xdr:rowOff>
    </xdr:from>
    <xdr:to>
      <xdr:col>1</xdr:col>
      <xdr:colOff>904875</xdr:colOff>
      <xdr:row>12</xdr:row>
      <xdr:rowOff>85725</xdr:rowOff>
    </xdr:to>
    <xdr:sp macro="[0]!LimpiaLibr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1914525"/>
          <a:ext cx="800100" cy="5715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Limpiar</a:t>
          </a:r>
          <a:r>
            <a:rPr lang="es-CL" sz="1100" b="1" baseline="0"/>
            <a:t> libro</a:t>
          </a:r>
          <a:endParaRPr lang="es-CL" sz="1100" b="1"/>
        </a:p>
      </xdr:txBody>
    </xdr:sp>
    <xdr:clientData/>
  </xdr:twoCellAnchor>
  <xdr:oneCellAnchor>
    <xdr:from>
      <xdr:col>1</xdr:col>
      <xdr:colOff>123824</xdr:colOff>
      <xdr:row>0</xdr:row>
      <xdr:rowOff>10967</xdr:rowOff>
    </xdr:from>
    <xdr:ext cx="794375" cy="721018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4" y="10967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  <xdr:twoCellAnchor editAs="oneCell">
    <xdr:from>
      <xdr:col>9</xdr:col>
      <xdr:colOff>114300</xdr:colOff>
      <xdr:row>0</xdr:row>
      <xdr:rowOff>133350</xdr:rowOff>
    </xdr:from>
    <xdr:to>
      <xdr:col>10</xdr:col>
      <xdr:colOff>416783</xdr:colOff>
      <xdr:row>2</xdr:row>
      <xdr:rowOff>57150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0" y="133350"/>
          <a:ext cx="788258" cy="438150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47535</xdr:colOff>
      <xdr:row>0</xdr:row>
      <xdr:rowOff>152400</xdr:rowOff>
    </xdr:from>
    <xdr:to>
      <xdr:col>7</xdr:col>
      <xdr:colOff>35693</xdr:colOff>
      <xdr:row>2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9710" y="152400"/>
          <a:ext cx="788258" cy="438150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  <xdr:oneCellAnchor>
    <xdr:from>
      <xdr:col>1</xdr:col>
      <xdr:colOff>123825</xdr:colOff>
      <xdr:row>0</xdr:row>
      <xdr:rowOff>0</xdr:rowOff>
    </xdr:from>
    <xdr:ext cx="794375" cy="721018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47535</xdr:colOff>
      <xdr:row>0</xdr:row>
      <xdr:rowOff>152400</xdr:rowOff>
    </xdr:from>
    <xdr:to>
      <xdr:col>7</xdr:col>
      <xdr:colOff>26168</xdr:colOff>
      <xdr:row>2</xdr:row>
      <xdr:rowOff>76200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5985" y="152400"/>
          <a:ext cx="788258" cy="438150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  <xdr:oneCellAnchor>
    <xdr:from>
      <xdr:col>1</xdr:col>
      <xdr:colOff>123825</xdr:colOff>
      <xdr:row>0</xdr:row>
      <xdr:rowOff>0</xdr:rowOff>
    </xdr:from>
    <xdr:ext cx="794375" cy="721018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0</xdr:rowOff>
    </xdr:from>
    <xdr:ext cx="794375" cy="721018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  <xdr:twoCellAnchor editAs="oneCell">
    <xdr:from>
      <xdr:col>6</xdr:col>
      <xdr:colOff>47535</xdr:colOff>
      <xdr:row>0</xdr:row>
      <xdr:rowOff>152400</xdr:rowOff>
    </xdr:from>
    <xdr:to>
      <xdr:col>8</xdr:col>
      <xdr:colOff>73793</xdr:colOff>
      <xdr:row>2</xdr:row>
      <xdr:rowOff>76200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EF35A573-C39A-40BF-8A36-0CD11708A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698" y="152400"/>
          <a:ext cx="845408" cy="447675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47535</xdr:colOff>
      <xdr:row>0</xdr:row>
      <xdr:rowOff>152400</xdr:rowOff>
    </xdr:from>
    <xdr:to>
      <xdr:col>7</xdr:col>
      <xdr:colOff>92843</xdr:colOff>
      <xdr:row>2</xdr:row>
      <xdr:rowOff>76200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110" y="152400"/>
          <a:ext cx="788258" cy="438150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  <xdr:oneCellAnchor>
    <xdr:from>
      <xdr:col>1</xdr:col>
      <xdr:colOff>123825</xdr:colOff>
      <xdr:row>0</xdr:row>
      <xdr:rowOff>0</xdr:rowOff>
    </xdr:from>
    <xdr:ext cx="794375" cy="721018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  <xdr:twoCellAnchor editAs="oneCell">
    <xdr:from>
      <xdr:col>14</xdr:col>
      <xdr:colOff>47535</xdr:colOff>
      <xdr:row>0</xdr:row>
      <xdr:rowOff>152400</xdr:rowOff>
    </xdr:from>
    <xdr:to>
      <xdr:col>15</xdr:col>
      <xdr:colOff>92843</xdr:colOff>
      <xdr:row>2</xdr:row>
      <xdr:rowOff>76200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110" y="152400"/>
          <a:ext cx="788258" cy="438150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  <xdr:oneCellAnchor>
    <xdr:from>
      <xdr:col>9</xdr:col>
      <xdr:colOff>123825</xdr:colOff>
      <xdr:row>0</xdr:row>
      <xdr:rowOff>0</xdr:rowOff>
    </xdr:from>
    <xdr:ext cx="794375" cy="721018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  <xdr:twoCellAnchor editAs="oneCell">
    <xdr:from>
      <xdr:col>22</xdr:col>
      <xdr:colOff>47535</xdr:colOff>
      <xdr:row>0</xdr:row>
      <xdr:rowOff>152400</xdr:rowOff>
    </xdr:from>
    <xdr:to>
      <xdr:col>23</xdr:col>
      <xdr:colOff>92843</xdr:colOff>
      <xdr:row>2</xdr:row>
      <xdr:rowOff>76200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110" y="152400"/>
          <a:ext cx="788258" cy="438150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  <xdr:oneCellAnchor>
    <xdr:from>
      <xdr:col>17</xdr:col>
      <xdr:colOff>123825</xdr:colOff>
      <xdr:row>0</xdr:row>
      <xdr:rowOff>0</xdr:rowOff>
    </xdr:from>
    <xdr:ext cx="794375" cy="721018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110</xdr:row>
      <xdr:rowOff>14898</xdr:rowOff>
    </xdr:from>
    <xdr:to>
      <xdr:col>9</xdr:col>
      <xdr:colOff>857853</xdr:colOff>
      <xdr:row>110</xdr:row>
      <xdr:rowOff>842354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8850" y="20969898"/>
          <a:ext cx="857853" cy="827456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112</xdr:row>
      <xdr:rowOff>0</xdr:rowOff>
    </xdr:from>
    <xdr:to>
      <xdr:col>11</xdr:col>
      <xdr:colOff>866775</xdr:colOff>
      <xdr:row>112</xdr:row>
      <xdr:rowOff>481794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7625" y="22002750"/>
          <a:ext cx="866775" cy="481794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B1:O37"/>
  <sheetViews>
    <sheetView topLeftCell="A5" zoomScaleNormal="100" workbookViewId="0">
      <selection activeCell="I35" sqref="I35"/>
    </sheetView>
  </sheetViews>
  <sheetFormatPr baseColWidth="10" defaultColWidth="11.5" defaultRowHeight="15" x14ac:dyDescent="0.2"/>
  <cols>
    <col min="1" max="1" width="2.5" style="5" customWidth="1"/>
    <col min="2" max="2" width="16" style="5" customWidth="1"/>
    <col min="3" max="4" width="6.1640625" style="5" customWidth="1"/>
    <col min="5" max="5" width="26.5" style="7" customWidth="1"/>
    <col min="6" max="6" width="6.1640625" style="8" customWidth="1"/>
    <col min="7" max="8" width="6.5" style="8" customWidth="1"/>
    <col min="9" max="9" width="6" style="8" customWidth="1"/>
    <col min="10" max="10" width="7.33203125" style="8" customWidth="1"/>
    <col min="11" max="11" width="7.33203125" style="5" customWidth="1"/>
    <col min="12" max="12" width="2.33203125" style="5" customWidth="1"/>
    <col min="13" max="16384" width="11.5" style="5"/>
  </cols>
  <sheetData>
    <row r="1" spans="2:15" ht="20.25" customHeight="1" x14ac:dyDescent="0.25">
      <c r="C1" s="71" t="s">
        <v>86</v>
      </c>
      <c r="D1" s="71"/>
      <c r="E1" s="71"/>
      <c r="F1" s="71"/>
      <c r="G1" s="71"/>
      <c r="H1" s="71"/>
      <c r="I1" s="71"/>
      <c r="J1" s="71"/>
      <c r="K1" s="6"/>
      <c r="L1" s="6"/>
      <c r="M1" s="6"/>
      <c r="N1" s="6"/>
      <c r="O1" s="6"/>
    </row>
    <row r="2" spans="2:15" ht="20.25" customHeight="1" x14ac:dyDescent="0.25">
      <c r="C2" s="71" t="s">
        <v>87</v>
      </c>
      <c r="D2" s="71"/>
      <c r="E2" s="71"/>
      <c r="F2" s="71"/>
      <c r="G2" s="71"/>
      <c r="H2" s="71"/>
      <c r="I2" s="71"/>
      <c r="J2" s="71"/>
      <c r="K2" s="6"/>
      <c r="L2" s="6"/>
      <c r="M2" s="6"/>
      <c r="N2" s="6"/>
      <c r="O2" s="6"/>
    </row>
    <row r="3" spans="2:15" ht="20.25" customHeight="1" x14ac:dyDescent="0.25">
      <c r="C3" s="71" t="s">
        <v>88</v>
      </c>
      <c r="D3" s="71"/>
      <c r="E3" s="71"/>
      <c r="F3" s="71"/>
      <c r="G3" s="71"/>
      <c r="H3" s="71"/>
      <c r="I3" s="71"/>
      <c r="J3" s="6"/>
      <c r="K3" s="6"/>
      <c r="L3" s="6"/>
      <c r="M3" s="6"/>
      <c r="N3" s="6"/>
      <c r="O3" s="6"/>
    </row>
    <row r="4" spans="2:15" ht="20.25" customHeight="1" x14ac:dyDescent="0.2">
      <c r="I4" s="11" t="s">
        <v>25</v>
      </c>
      <c r="J4" s="74" t="s">
        <v>24</v>
      </c>
      <c r="K4" s="75"/>
    </row>
    <row r="5" spans="2:15" ht="14.25" customHeight="1" x14ac:dyDescent="0.2">
      <c r="B5" s="9"/>
      <c r="C5" s="93"/>
      <c r="D5" s="93"/>
      <c r="E5" s="93"/>
      <c r="F5" s="10"/>
      <c r="I5" s="11" t="s">
        <v>21</v>
      </c>
      <c r="J5" s="96">
        <v>0.35416666666666669</v>
      </c>
      <c r="K5" s="96"/>
    </row>
    <row r="6" spans="2:15" ht="14.25" customHeight="1" x14ac:dyDescent="0.2">
      <c r="B6" s="9" t="s">
        <v>89</v>
      </c>
      <c r="C6" s="94" t="s">
        <v>90</v>
      </c>
      <c r="D6" s="95"/>
      <c r="E6" s="95"/>
      <c r="F6" s="10"/>
      <c r="I6" s="11" t="s">
        <v>23</v>
      </c>
      <c r="J6" s="96">
        <v>1.3888888888888888E-2</v>
      </c>
      <c r="K6" s="96"/>
    </row>
    <row r="7" spans="2:15" x14ac:dyDescent="0.2">
      <c r="B7" s="9" t="s">
        <v>18</v>
      </c>
      <c r="C7" s="94" t="s">
        <v>4</v>
      </c>
      <c r="D7" s="95"/>
      <c r="E7" s="95"/>
      <c r="F7" s="10"/>
      <c r="I7" s="9" t="s">
        <v>22</v>
      </c>
      <c r="J7" s="97">
        <f>J5+J6</f>
        <v>0.36805555555555558</v>
      </c>
      <c r="K7" s="97"/>
    </row>
    <row r="8" spans="2:15" ht="15" customHeight="1" x14ac:dyDescent="0.2">
      <c r="J8" s="5"/>
    </row>
    <row r="9" spans="2:15" ht="19" x14ac:dyDescent="0.25">
      <c r="C9" s="73" t="s">
        <v>20</v>
      </c>
      <c r="D9" s="73"/>
      <c r="E9" s="73"/>
      <c r="F9" s="73"/>
      <c r="G9" s="73"/>
      <c r="H9" s="73"/>
      <c r="I9" s="12"/>
      <c r="J9"/>
      <c r="K9"/>
    </row>
    <row r="10" spans="2:15" ht="15" customHeight="1" x14ac:dyDescent="0.2">
      <c r="C10" s="98" t="s">
        <v>91</v>
      </c>
      <c r="D10" s="98"/>
      <c r="E10" s="98"/>
      <c r="F10" s="18" t="s">
        <v>51</v>
      </c>
      <c r="G10" s="18"/>
      <c r="H10" s="18" t="s">
        <v>9</v>
      </c>
      <c r="I10" s="5"/>
      <c r="J10"/>
      <c r="K10"/>
    </row>
    <row r="11" spans="2:15" ht="15" customHeight="1" x14ac:dyDescent="0.2">
      <c r="C11" s="72" t="s">
        <v>92</v>
      </c>
      <c r="D11" s="72"/>
      <c r="E11" s="72"/>
      <c r="F11" s="17">
        <f>J17</f>
        <v>1</v>
      </c>
      <c r="G11" s="17"/>
      <c r="H11" s="15">
        <f>ROUND(AVERAGE(F11:G11),1)</f>
        <v>1</v>
      </c>
      <c r="I11" s="5"/>
      <c r="J11"/>
      <c r="K11"/>
    </row>
    <row r="12" spans="2:15" ht="15" customHeight="1" x14ac:dyDescent="0.2">
      <c r="C12" s="72" t="s">
        <v>93</v>
      </c>
      <c r="D12" s="72"/>
      <c r="E12" s="72"/>
      <c r="F12" s="17">
        <f>J24</f>
        <v>1</v>
      </c>
      <c r="G12" s="17"/>
      <c r="H12" s="16">
        <f>ROUND(AVERAGE(F12:G12),1)</f>
        <v>1</v>
      </c>
      <c r="I12" s="5"/>
      <c r="J12"/>
      <c r="K12"/>
    </row>
    <row r="13" spans="2:15" ht="15" customHeight="1" x14ac:dyDescent="0.2">
      <c r="C13" s="72" t="s">
        <v>94</v>
      </c>
      <c r="D13" s="72"/>
      <c r="E13" s="72"/>
      <c r="F13" s="17">
        <f>J31</f>
        <v>1</v>
      </c>
      <c r="G13" s="17"/>
      <c r="H13" s="16">
        <f>ROUND(AVERAGE(F13:G13),1)</f>
        <v>1</v>
      </c>
      <c r="I13" s="5"/>
      <c r="J13"/>
      <c r="K13"/>
    </row>
    <row r="14" spans="2:15" ht="15" customHeight="1" x14ac:dyDescent="0.2">
      <c r="E14" s="5"/>
      <c r="F14" s="5"/>
      <c r="G14" s="5"/>
      <c r="H14" s="5"/>
      <c r="I14" s="5"/>
      <c r="J14" s="5"/>
    </row>
    <row r="15" spans="2:15" ht="15" customHeight="1" x14ac:dyDescent="0.2">
      <c r="B15" s="99" t="str">
        <f>C11</f>
        <v>Nombre de Estudiante 1</v>
      </c>
      <c r="C15" s="100"/>
      <c r="D15" s="100"/>
      <c r="E15" s="100"/>
      <c r="F15" s="100"/>
      <c r="G15" s="100"/>
      <c r="H15" s="100"/>
      <c r="I15" s="100"/>
      <c r="J15" s="100"/>
      <c r="K15" s="100"/>
    </row>
    <row r="16" spans="2:15" ht="15" customHeight="1" x14ac:dyDescent="0.2">
      <c r="B16" s="87" t="s">
        <v>7</v>
      </c>
      <c r="C16" s="87"/>
      <c r="D16" s="88" t="s">
        <v>8</v>
      </c>
      <c r="E16" s="88"/>
      <c r="F16" s="88"/>
      <c r="G16" s="88"/>
      <c r="H16" s="88"/>
      <c r="I16" s="88"/>
      <c r="J16" s="88" t="s">
        <v>9</v>
      </c>
      <c r="K16" s="88"/>
    </row>
    <row r="17" spans="2:12" ht="15" customHeight="1" x14ac:dyDescent="0.2">
      <c r="B17" s="22" t="s">
        <v>52</v>
      </c>
      <c r="C17" s="24">
        <v>0.3</v>
      </c>
      <c r="D17" s="107" t="s">
        <v>53</v>
      </c>
      <c r="E17" s="108"/>
      <c r="F17" s="108">
        <v>1</v>
      </c>
      <c r="G17" s="25">
        <v>1</v>
      </c>
      <c r="H17" s="23">
        <f>Informe!I30</f>
        <v>1</v>
      </c>
      <c r="I17" s="23">
        <f>ROUND(H17*G17,2)</f>
        <v>1</v>
      </c>
      <c r="J17" s="101">
        <f>I17*C17+I18*C18</f>
        <v>1</v>
      </c>
      <c r="K17" s="102"/>
      <c r="L17" s="14"/>
    </row>
    <row r="18" spans="2:12" ht="15" customHeight="1" x14ac:dyDescent="0.2">
      <c r="B18" s="76" t="s">
        <v>6</v>
      </c>
      <c r="C18" s="79">
        <v>0.7</v>
      </c>
      <c r="D18" s="82" t="s">
        <v>112</v>
      </c>
      <c r="E18" s="83"/>
      <c r="F18" s="83"/>
      <c r="G18" s="26">
        <v>0.3</v>
      </c>
      <c r="H18" s="27">
        <f>Software!I25</f>
        <v>1</v>
      </c>
      <c r="I18" s="84">
        <f>H18*G18+H19*G19+H20*G20</f>
        <v>1</v>
      </c>
      <c r="J18" s="103"/>
      <c r="K18" s="104"/>
      <c r="L18" s="14"/>
    </row>
    <row r="19" spans="2:12" ht="15" customHeight="1" x14ac:dyDescent="0.2">
      <c r="B19" s="77"/>
      <c r="C19" s="80"/>
      <c r="D19" s="89" t="s">
        <v>19</v>
      </c>
      <c r="E19" s="90"/>
      <c r="F19" s="90"/>
      <c r="G19" s="28">
        <v>0.3</v>
      </c>
      <c r="H19" s="29">
        <f>Disertación!I29</f>
        <v>1</v>
      </c>
      <c r="I19" s="85"/>
      <c r="J19" s="103"/>
      <c r="K19" s="104"/>
    </row>
    <row r="20" spans="2:12" ht="15.75" customHeight="1" x14ac:dyDescent="0.2">
      <c r="B20" s="78"/>
      <c r="C20" s="81"/>
      <c r="D20" s="91" t="s">
        <v>29</v>
      </c>
      <c r="E20" s="92"/>
      <c r="F20" s="92"/>
      <c r="G20" s="46">
        <v>0.4</v>
      </c>
      <c r="H20" s="47">
        <f>Estudiante!I21</f>
        <v>1</v>
      </c>
      <c r="I20" s="86"/>
      <c r="J20" s="105"/>
      <c r="K20" s="106"/>
      <c r="L20" s="14"/>
    </row>
    <row r="21" spans="2:12" ht="16" x14ac:dyDescent="0.2">
      <c r="B21" s="13"/>
      <c r="C21" s="13"/>
      <c r="D21" s="13"/>
      <c r="E21" s="13"/>
      <c r="F21" s="13"/>
      <c r="G21" s="13"/>
      <c r="H21" s="21"/>
      <c r="I21" s="13"/>
      <c r="J21" s="13"/>
    </row>
    <row r="22" spans="2:12" x14ac:dyDescent="0.2">
      <c r="B22" s="99" t="str">
        <f>C12</f>
        <v>Nombre de Estudiante 2</v>
      </c>
      <c r="C22" s="100"/>
      <c r="D22" s="100"/>
      <c r="E22" s="100"/>
      <c r="F22" s="100"/>
      <c r="G22" s="100"/>
      <c r="H22" s="100"/>
      <c r="I22" s="100"/>
      <c r="J22" s="100"/>
      <c r="K22" s="100"/>
    </row>
    <row r="23" spans="2:12" x14ac:dyDescent="0.2">
      <c r="B23" s="87" t="s">
        <v>7</v>
      </c>
      <c r="C23" s="87"/>
      <c r="D23" s="88" t="s">
        <v>8</v>
      </c>
      <c r="E23" s="88"/>
      <c r="F23" s="88"/>
      <c r="G23" s="88"/>
      <c r="H23" s="88"/>
      <c r="I23" s="88" t="s">
        <v>9</v>
      </c>
      <c r="J23" s="88" t="s">
        <v>9</v>
      </c>
      <c r="K23" s="88"/>
    </row>
    <row r="24" spans="2:12" ht="15" customHeight="1" x14ac:dyDescent="0.2">
      <c r="B24" s="22" t="s">
        <v>52</v>
      </c>
      <c r="C24" s="24">
        <v>0.3</v>
      </c>
      <c r="D24" s="107" t="s">
        <v>53</v>
      </c>
      <c r="E24" s="108"/>
      <c r="F24" s="108">
        <v>1</v>
      </c>
      <c r="G24" s="25">
        <v>1</v>
      </c>
      <c r="H24" s="23">
        <f>$H$17</f>
        <v>1</v>
      </c>
      <c r="I24" s="23">
        <f>ROUND(H24*G24,2)</f>
        <v>1</v>
      </c>
      <c r="J24" s="101">
        <f>I24*C24+I25*C25</f>
        <v>1</v>
      </c>
      <c r="K24" s="102"/>
    </row>
    <row r="25" spans="2:12" ht="15" customHeight="1" x14ac:dyDescent="0.2">
      <c r="B25" s="76" t="s">
        <v>6</v>
      </c>
      <c r="C25" s="79">
        <v>0.7</v>
      </c>
      <c r="D25" s="82" t="s">
        <v>84</v>
      </c>
      <c r="E25" s="83"/>
      <c r="F25" s="83"/>
      <c r="G25" s="26">
        <v>0.3</v>
      </c>
      <c r="H25" s="27">
        <f>$H$18</f>
        <v>1</v>
      </c>
      <c r="I25" s="84">
        <f>H25*G25+H26*G26+H27*G27</f>
        <v>1</v>
      </c>
      <c r="J25" s="103"/>
      <c r="K25" s="104"/>
    </row>
    <row r="26" spans="2:12" ht="15" customHeight="1" x14ac:dyDescent="0.2">
      <c r="B26" s="77"/>
      <c r="C26" s="80"/>
      <c r="D26" s="89" t="s">
        <v>19</v>
      </c>
      <c r="E26" s="90"/>
      <c r="F26" s="90"/>
      <c r="G26" s="28">
        <v>0.3</v>
      </c>
      <c r="H26" s="29">
        <f>$H$19</f>
        <v>1</v>
      </c>
      <c r="I26" s="85"/>
      <c r="J26" s="103"/>
      <c r="K26" s="104"/>
    </row>
    <row r="27" spans="2:12" ht="15" customHeight="1" x14ac:dyDescent="0.2">
      <c r="B27" s="78"/>
      <c r="C27" s="81"/>
      <c r="D27" s="91" t="s">
        <v>29</v>
      </c>
      <c r="E27" s="92"/>
      <c r="F27" s="92"/>
      <c r="G27" s="46">
        <v>0.4</v>
      </c>
      <c r="H27" s="47">
        <f>Estudiante!Q21</f>
        <v>1</v>
      </c>
      <c r="I27" s="86"/>
      <c r="J27" s="105"/>
      <c r="K27" s="106"/>
    </row>
    <row r="28" spans="2:12" x14ac:dyDescent="0.2">
      <c r="E28" s="5"/>
      <c r="F28" s="5"/>
      <c r="G28" s="5"/>
      <c r="H28" s="5"/>
      <c r="I28" s="5"/>
      <c r="J28" s="5"/>
    </row>
    <row r="29" spans="2:12" x14ac:dyDescent="0.2">
      <c r="B29" s="99" t="str">
        <f>C13</f>
        <v>Nombre de Estudiante 3</v>
      </c>
      <c r="C29" s="100"/>
      <c r="D29" s="100"/>
      <c r="E29" s="100"/>
      <c r="F29" s="100"/>
      <c r="G29" s="100"/>
      <c r="H29" s="100"/>
      <c r="I29" s="100"/>
      <c r="J29" s="100"/>
      <c r="K29" s="100"/>
    </row>
    <row r="30" spans="2:12" x14ac:dyDescent="0.2">
      <c r="B30" s="87" t="s">
        <v>7</v>
      </c>
      <c r="C30" s="87"/>
      <c r="D30" s="88" t="s">
        <v>8</v>
      </c>
      <c r="E30" s="88"/>
      <c r="F30" s="88"/>
      <c r="G30" s="88"/>
      <c r="H30" s="88"/>
      <c r="I30" s="88" t="s">
        <v>9</v>
      </c>
      <c r="J30" s="88" t="s">
        <v>9</v>
      </c>
      <c r="K30" s="88"/>
    </row>
    <row r="31" spans="2:12" ht="15" customHeight="1" x14ac:dyDescent="0.2">
      <c r="B31" s="22" t="s">
        <v>52</v>
      </c>
      <c r="C31" s="24">
        <v>0.3</v>
      </c>
      <c r="D31" s="107" t="s">
        <v>53</v>
      </c>
      <c r="E31" s="108"/>
      <c r="F31" s="108">
        <v>1</v>
      </c>
      <c r="G31" s="25">
        <v>1</v>
      </c>
      <c r="H31" s="23">
        <f>$H$17</f>
        <v>1</v>
      </c>
      <c r="I31" s="23">
        <f>ROUND(H31*G31,2)</f>
        <v>1</v>
      </c>
      <c r="J31" s="101">
        <f>I31*C31+I32*C32</f>
        <v>1</v>
      </c>
      <c r="K31" s="102"/>
    </row>
    <row r="32" spans="2:12" ht="15" customHeight="1" x14ac:dyDescent="0.2">
      <c r="B32" s="76" t="s">
        <v>6</v>
      </c>
      <c r="C32" s="79">
        <v>0.7</v>
      </c>
      <c r="D32" s="82" t="s">
        <v>84</v>
      </c>
      <c r="E32" s="83"/>
      <c r="F32" s="83"/>
      <c r="G32" s="26">
        <v>0.3</v>
      </c>
      <c r="H32" s="27">
        <f>$H$18</f>
        <v>1</v>
      </c>
      <c r="I32" s="84">
        <f>H32*G32+H33*G33+H34*G34</f>
        <v>1</v>
      </c>
      <c r="J32" s="103"/>
      <c r="K32" s="104"/>
    </row>
    <row r="33" spans="2:11" ht="15" customHeight="1" x14ac:dyDescent="0.2">
      <c r="B33" s="77"/>
      <c r="C33" s="80"/>
      <c r="D33" s="89" t="s">
        <v>19</v>
      </c>
      <c r="E33" s="90"/>
      <c r="F33" s="90"/>
      <c r="G33" s="28">
        <v>0.3</v>
      </c>
      <c r="H33" s="29">
        <f>$H$19</f>
        <v>1</v>
      </c>
      <c r="I33" s="85"/>
      <c r="J33" s="103"/>
      <c r="K33" s="104"/>
    </row>
    <row r="34" spans="2:11" ht="15" customHeight="1" x14ac:dyDescent="0.2">
      <c r="B34" s="78"/>
      <c r="C34" s="81"/>
      <c r="D34" s="91" t="s">
        <v>29</v>
      </c>
      <c r="E34" s="92"/>
      <c r="F34" s="92"/>
      <c r="G34" s="46">
        <v>0.4</v>
      </c>
      <c r="H34" s="47">
        <f>Estudiante!Y21</f>
        <v>1</v>
      </c>
      <c r="I34" s="86"/>
      <c r="J34" s="105"/>
      <c r="K34" s="106"/>
    </row>
    <row r="35" spans="2:11" x14ac:dyDescent="0.2">
      <c r="E35" s="5"/>
      <c r="F35" s="5"/>
      <c r="G35" s="5"/>
      <c r="H35" s="5"/>
      <c r="I35" s="5"/>
      <c r="J35" s="5"/>
    </row>
    <row r="36" spans="2:11" x14ac:dyDescent="0.2">
      <c r="E36" s="5"/>
      <c r="F36" s="5"/>
      <c r="G36" s="5"/>
      <c r="H36" s="5"/>
      <c r="I36" s="5"/>
      <c r="J36" s="5"/>
    </row>
    <row r="37" spans="2:11" x14ac:dyDescent="0.2">
      <c r="E37" s="5"/>
      <c r="F37" s="5"/>
      <c r="G37" s="5"/>
      <c r="H37" s="5"/>
      <c r="I37" s="5"/>
      <c r="J37" s="5"/>
    </row>
  </sheetData>
  <sheetProtection selectLockedCells="1"/>
  <mergeCells count="51">
    <mergeCell ref="J31:K34"/>
    <mergeCell ref="D31:F31"/>
    <mergeCell ref="J30:K30"/>
    <mergeCell ref="J17:K20"/>
    <mergeCell ref="J23:K23"/>
    <mergeCell ref="J24:K27"/>
    <mergeCell ref="D17:F17"/>
    <mergeCell ref="D20:F20"/>
    <mergeCell ref="B22:K22"/>
    <mergeCell ref="I25:I27"/>
    <mergeCell ref="B23:C23"/>
    <mergeCell ref="D23:I23"/>
    <mergeCell ref="I18:I20"/>
    <mergeCell ref="B29:K29"/>
    <mergeCell ref="D27:F27"/>
    <mergeCell ref="D24:F24"/>
    <mergeCell ref="B16:C16"/>
    <mergeCell ref="C5:E5"/>
    <mergeCell ref="C7:E7"/>
    <mergeCell ref="C6:E6"/>
    <mergeCell ref="J5:K5"/>
    <mergeCell ref="J6:K6"/>
    <mergeCell ref="J7:K7"/>
    <mergeCell ref="C10:E10"/>
    <mergeCell ref="C11:E11"/>
    <mergeCell ref="B15:K15"/>
    <mergeCell ref="J16:K16"/>
    <mergeCell ref="D16:I16"/>
    <mergeCell ref="B25:B27"/>
    <mergeCell ref="C25:C27"/>
    <mergeCell ref="D25:F25"/>
    <mergeCell ref="B18:B20"/>
    <mergeCell ref="C18:C20"/>
    <mergeCell ref="D18:F18"/>
    <mergeCell ref="D19:F19"/>
    <mergeCell ref="D26:F26"/>
    <mergeCell ref="B32:B34"/>
    <mergeCell ref="C32:C34"/>
    <mergeCell ref="D32:F32"/>
    <mergeCell ref="I32:I34"/>
    <mergeCell ref="B30:C30"/>
    <mergeCell ref="D30:I30"/>
    <mergeCell ref="D33:F33"/>
    <mergeCell ref="D34:F34"/>
    <mergeCell ref="C3:I3"/>
    <mergeCell ref="C12:E12"/>
    <mergeCell ref="C13:E13"/>
    <mergeCell ref="C9:H9"/>
    <mergeCell ref="C1:J1"/>
    <mergeCell ref="C2:J2"/>
    <mergeCell ref="J4:K4"/>
  </mergeCells>
  <printOptions horizontalCentered="1"/>
  <pageMargins left="0.23622047244094491" right="0.23622047244094491" top="0.74803149606299213" bottom="0.74803149606299213" header="0.31496062992125984" footer="0.31496062992125984"/>
  <pageSetup orientation="portrait" r:id="rId1"/>
  <headerFooter>
    <oddHeader>&amp;C
&amp;G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A1:I43"/>
  <sheetViews>
    <sheetView tabSelected="1" topLeftCell="A14" zoomScaleNormal="100" zoomScaleSheetLayoutView="80" workbookViewId="0">
      <selection activeCell="B29" sqref="B29"/>
    </sheetView>
  </sheetViews>
  <sheetFormatPr baseColWidth="10" defaultColWidth="11.5" defaultRowHeight="15" x14ac:dyDescent="0.2"/>
  <cols>
    <col min="1" max="1" width="1.83203125" style="42" customWidth="1"/>
    <col min="2" max="2" width="17.33203125" style="7" customWidth="1"/>
    <col min="3" max="6" width="20.1640625" style="30" customWidth="1"/>
    <col min="7" max="7" width="12" style="30" customWidth="1"/>
    <col min="8" max="8" width="4.33203125" style="30" customWidth="1"/>
    <col min="9" max="16384" width="11.5" style="1"/>
  </cols>
  <sheetData>
    <row r="1" spans="1:9" customFormat="1" ht="20.75" customHeight="1" x14ac:dyDescent="0.25">
      <c r="B1" s="5"/>
      <c r="C1" s="71" t="str">
        <f>Acta!$C1</f>
        <v>TALLER DE INTEGRACIÓN DE SOFTWARE</v>
      </c>
      <c r="D1" s="71"/>
      <c r="E1" s="71"/>
      <c r="F1" s="71"/>
      <c r="G1" s="6"/>
      <c r="H1" s="6"/>
    </row>
    <row r="2" spans="1:9" customFormat="1" ht="20.75" customHeight="1" x14ac:dyDescent="0.25">
      <c r="B2" s="7"/>
      <c r="C2" s="71" t="str">
        <f>Acta!$C2</f>
        <v>[INFORME] - [ENTREGA DE SOFTWARE] - [EXPOSICIÓN]</v>
      </c>
      <c r="D2" s="71"/>
      <c r="E2" s="71"/>
      <c r="F2" s="71"/>
      <c r="G2" s="6"/>
      <c r="H2" s="6"/>
    </row>
    <row r="3" spans="1:9" customFormat="1" ht="20.75" customHeight="1" x14ac:dyDescent="0.25">
      <c r="B3" s="7"/>
      <c r="C3" s="71" t="str">
        <f>Acta!$C3</f>
        <v>EVALUACIÓN SUMATIVA Nº 1 - 15%</v>
      </c>
      <c r="D3" s="71"/>
      <c r="E3" s="71"/>
      <c r="F3" s="71"/>
      <c r="G3" s="6"/>
      <c r="H3" s="6"/>
    </row>
    <row r="4" spans="1:9" ht="9" customHeight="1" x14ac:dyDescent="0.2">
      <c r="C4" s="45"/>
      <c r="D4" s="45"/>
      <c r="E4" s="45"/>
      <c r="F4" s="45"/>
      <c r="G4" s="45"/>
      <c r="H4" s="45"/>
    </row>
    <row r="5" spans="1:9" x14ac:dyDescent="0.2">
      <c r="B5"/>
      <c r="C5"/>
      <c r="D5"/>
      <c r="E5"/>
      <c r="F5"/>
      <c r="G5"/>
      <c r="H5"/>
    </row>
    <row r="6" spans="1:9" ht="19" x14ac:dyDescent="0.25">
      <c r="B6" s="122" t="s">
        <v>183</v>
      </c>
      <c r="C6" s="122"/>
      <c r="D6" s="122"/>
      <c r="E6" s="122"/>
      <c r="F6" s="122"/>
      <c r="G6" s="122"/>
      <c r="H6" s="122"/>
    </row>
    <row r="7" spans="1:9" ht="23.25" customHeight="1" x14ac:dyDescent="0.2">
      <c r="B7" s="123" t="s">
        <v>3</v>
      </c>
      <c r="C7" s="123"/>
      <c r="D7" s="123"/>
      <c r="E7" s="123"/>
      <c r="F7" s="123"/>
      <c r="G7" s="123"/>
      <c r="H7" s="123"/>
    </row>
    <row r="8" spans="1:9" ht="23.25" customHeight="1" x14ac:dyDescent="0.2">
      <c r="B8" s="112" t="s">
        <v>26</v>
      </c>
      <c r="C8" s="114" t="s">
        <v>2</v>
      </c>
      <c r="D8" s="115"/>
      <c r="E8" s="115"/>
      <c r="F8" s="116"/>
      <c r="G8" s="33"/>
      <c r="H8" s="117"/>
    </row>
    <row r="9" spans="1:9" ht="32" x14ac:dyDescent="0.2">
      <c r="B9" s="112"/>
      <c r="C9" s="31" t="s">
        <v>62</v>
      </c>
      <c r="D9" s="31" t="s">
        <v>63</v>
      </c>
      <c r="E9" s="31" t="s">
        <v>64</v>
      </c>
      <c r="F9" s="31" t="s">
        <v>65</v>
      </c>
      <c r="G9" s="31" t="s">
        <v>66</v>
      </c>
      <c r="H9" s="118"/>
    </row>
    <row r="10" spans="1:9" ht="19.5" customHeight="1" x14ac:dyDescent="0.2">
      <c r="B10" s="113"/>
      <c r="C10" s="20" t="s">
        <v>56</v>
      </c>
      <c r="D10" s="20" t="s">
        <v>57</v>
      </c>
      <c r="E10" s="20" t="s">
        <v>58</v>
      </c>
      <c r="F10" s="20" t="s">
        <v>59</v>
      </c>
      <c r="G10" s="20" t="s">
        <v>60</v>
      </c>
      <c r="H10" s="32" t="s">
        <v>5</v>
      </c>
    </row>
    <row r="11" spans="1:9" ht="48" x14ac:dyDescent="0.2">
      <c r="B11" s="109" t="s">
        <v>95</v>
      </c>
      <c r="C11" s="48" t="s">
        <v>125</v>
      </c>
      <c r="D11" s="48" t="s">
        <v>126</v>
      </c>
      <c r="E11" s="48" t="s">
        <v>127</v>
      </c>
      <c r="F11" s="48" t="s">
        <v>128</v>
      </c>
      <c r="G11" s="48" t="s">
        <v>55</v>
      </c>
      <c r="H11" s="111">
        <v>10</v>
      </c>
    </row>
    <row r="12" spans="1:9" ht="19.5" customHeight="1" x14ac:dyDescent="0.2">
      <c r="A12" s="42">
        <v>0</v>
      </c>
      <c r="B12" s="110"/>
      <c r="C12" s="49"/>
      <c r="D12" s="49"/>
      <c r="E12" s="49"/>
      <c r="F12" s="49"/>
      <c r="G12" s="53"/>
      <c r="H12" s="111"/>
      <c r="I12" s="1">
        <f>IF(C12="x",4,IF(D12="x",3,IF(E12="x",2,IF(F12="x",1,0))))*H11/4</f>
        <v>0</v>
      </c>
    </row>
    <row r="13" spans="1:9" ht="36" x14ac:dyDescent="0.2">
      <c r="B13" s="119" t="s">
        <v>96</v>
      </c>
      <c r="C13" s="50" t="s">
        <v>129</v>
      </c>
      <c r="D13" s="50" t="s">
        <v>130</v>
      </c>
      <c r="E13" s="50" t="s">
        <v>131</v>
      </c>
      <c r="F13" s="50" t="s">
        <v>132</v>
      </c>
      <c r="G13" s="50" t="s">
        <v>55</v>
      </c>
      <c r="H13" s="121">
        <v>10</v>
      </c>
    </row>
    <row r="14" spans="1:9" ht="19.5" customHeight="1" x14ac:dyDescent="0.2">
      <c r="A14" s="42">
        <v>0</v>
      </c>
      <c r="B14" s="120"/>
      <c r="C14" s="49"/>
      <c r="D14" s="49"/>
      <c r="E14" s="49"/>
      <c r="F14" s="49"/>
      <c r="G14" s="53"/>
      <c r="H14" s="121"/>
      <c r="I14" s="1">
        <f>IF(C14="x",4,IF(D14="x",3,IF(E14="x",2,IF(F14="x",1,0))))*H13/4</f>
        <v>0</v>
      </c>
    </row>
    <row r="15" spans="1:9" ht="48" x14ac:dyDescent="0.2">
      <c r="B15" s="109" t="s">
        <v>97</v>
      </c>
      <c r="C15" s="48" t="s">
        <v>133</v>
      </c>
      <c r="D15" s="48" t="s">
        <v>134</v>
      </c>
      <c r="E15" s="48" t="s">
        <v>135</v>
      </c>
      <c r="F15" s="48" t="s">
        <v>136</v>
      </c>
      <c r="G15" s="48" t="s">
        <v>55</v>
      </c>
      <c r="H15" s="111">
        <v>10</v>
      </c>
    </row>
    <row r="16" spans="1:9" ht="20.25" customHeight="1" x14ac:dyDescent="0.2">
      <c r="A16" s="42">
        <v>0</v>
      </c>
      <c r="B16" s="110"/>
      <c r="C16" s="49"/>
      <c r="D16" s="49"/>
      <c r="E16" s="49"/>
      <c r="F16" s="49"/>
      <c r="G16" s="53"/>
      <c r="H16" s="111"/>
      <c r="I16" s="1">
        <f>IF(C16="x",4,IF(D16="x",3,IF(E16="x",2,IF(F16="x",1,0))))*H15/4</f>
        <v>0</v>
      </c>
    </row>
    <row r="17" spans="1:9" ht="60" x14ac:dyDescent="0.2">
      <c r="B17" s="119" t="s">
        <v>184</v>
      </c>
      <c r="C17" s="50" t="s">
        <v>185</v>
      </c>
      <c r="D17" s="50" t="s">
        <v>186</v>
      </c>
      <c r="E17" s="50" t="s">
        <v>187</v>
      </c>
      <c r="F17" s="50" t="s">
        <v>188</v>
      </c>
      <c r="G17" s="50" t="s">
        <v>189</v>
      </c>
      <c r="H17" s="121">
        <v>10</v>
      </c>
    </row>
    <row r="18" spans="1:9" ht="20.25" customHeight="1" x14ac:dyDescent="0.2">
      <c r="B18" s="120"/>
      <c r="C18" s="69"/>
      <c r="D18" s="69"/>
      <c r="E18" s="69"/>
      <c r="F18" s="69"/>
      <c r="G18" s="70"/>
      <c r="H18" s="121"/>
      <c r="I18" s="1">
        <f>IF(C18="x",4,IF(D18="x",3,IF(E18="x",2,IF(F18="x",1,0))))*H17/4</f>
        <v>0</v>
      </c>
    </row>
    <row r="19" spans="1:9" ht="48" x14ac:dyDescent="0.2">
      <c r="B19" s="109" t="s">
        <v>98</v>
      </c>
      <c r="C19" s="48" t="s">
        <v>137</v>
      </c>
      <c r="D19" s="48" t="s">
        <v>138</v>
      </c>
      <c r="E19" s="48" t="s">
        <v>139</v>
      </c>
      <c r="F19" s="48" t="s">
        <v>140</v>
      </c>
      <c r="G19" s="48" t="s">
        <v>55</v>
      </c>
      <c r="H19" s="111">
        <v>15</v>
      </c>
    </row>
    <row r="20" spans="1:9" ht="18" customHeight="1" x14ac:dyDescent="0.2">
      <c r="A20" s="42">
        <v>0</v>
      </c>
      <c r="B20" s="110"/>
      <c r="C20" s="49"/>
      <c r="D20" s="49"/>
      <c r="E20" s="49"/>
      <c r="F20" s="49"/>
      <c r="G20" s="53"/>
      <c r="H20" s="111"/>
      <c r="I20" s="1">
        <f>IF(C20="x",4,IF(D20="x",3,IF(E20="x",2,IF(F20="x",1,0))))*H19/4</f>
        <v>0</v>
      </c>
    </row>
    <row r="21" spans="1:9" ht="36" x14ac:dyDescent="0.2">
      <c r="B21" s="119" t="s">
        <v>99</v>
      </c>
      <c r="C21" s="50" t="s">
        <v>141</v>
      </c>
      <c r="D21" s="50" t="s">
        <v>142</v>
      </c>
      <c r="E21" s="50" t="s">
        <v>143</v>
      </c>
      <c r="F21" s="50" t="s">
        <v>144</v>
      </c>
      <c r="G21" s="50" t="s">
        <v>55</v>
      </c>
      <c r="H21" s="121">
        <v>10</v>
      </c>
    </row>
    <row r="22" spans="1:9" ht="17.25" customHeight="1" x14ac:dyDescent="0.2">
      <c r="A22" s="42">
        <v>0</v>
      </c>
      <c r="B22" s="120"/>
      <c r="C22" s="49"/>
      <c r="D22" s="49"/>
      <c r="E22" s="49"/>
      <c r="F22" s="49"/>
      <c r="G22" s="53"/>
      <c r="H22" s="121"/>
      <c r="I22" s="1">
        <f>IF(C22="x",4,IF(D22="x",3,IF(E22="x",2,IF(F22="x",1,0))))*H21/4</f>
        <v>0</v>
      </c>
    </row>
    <row r="23" spans="1:9" ht="60" x14ac:dyDescent="0.2">
      <c r="B23" s="109" t="s">
        <v>190</v>
      </c>
      <c r="C23" s="48" t="s">
        <v>191</v>
      </c>
      <c r="D23" s="48" t="s">
        <v>192</v>
      </c>
      <c r="E23" s="48" t="s">
        <v>193</v>
      </c>
      <c r="F23" s="48" t="s">
        <v>194</v>
      </c>
      <c r="G23" s="48" t="s">
        <v>189</v>
      </c>
      <c r="H23" s="111">
        <v>10</v>
      </c>
    </row>
    <row r="24" spans="1:9" ht="17.25" customHeight="1" x14ac:dyDescent="0.2">
      <c r="B24" s="110"/>
      <c r="C24" s="69"/>
      <c r="D24" s="69"/>
      <c r="E24" s="69"/>
      <c r="F24" s="69"/>
      <c r="G24" s="70"/>
      <c r="H24" s="111"/>
      <c r="I24" s="1">
        <f>IF(C24="x",4,IF(D24="x",3,IF(E24="x",2,IF(F24="x",1,0))))*H23/4</f>
        <v>0</v>
      </c>
    </row>
    <row r="25" spans="1:9" ht="48" x14ac:dyDescent="0.2">
      <c r="B25" s="119" t="s">
        <v>100</v>
      </c>
      <c r="C25" s="50" t="s">
        <v>145</v>
      </c>
      <c r="D25" s="50" t="s">
        <v>146</v>
      </c>
      <c r="E25" s="50" t="s">
        <v>147</v>
      </c>
      <c r="F25" s="50" t="s">
        <v>148</v>
      </c>
      <c r="G25" s="50" t="s">
        <v>55</v>
      </c>
      <c r="H25" s="121">
        <v>20</v>
      </c>
    </row>
    <row r="26" spans="1:9" ht="17.25" customHeight="1" x14ac:dyDescent="0.2">
      <c r="A26" s="42">
        <v>0</v>
      </c>
      <c r="B26" s="120"/>
      <c r="C26" s="49"/>
      <c r="D26" s="49"/>
      <c r="E26" s="49"/>
      <c r="F26" s="49"/>
      <c r="G26" s="53"/>
      <c r="H26" s="121"/>
      <c r="I26" s="1">
        <f>IF(C26="x",4,IF(D26="x",3,IF(E26="x",2,IF(F26="x",1,0))))*H25/4</f>
        <v>0</v>
      </c>
    </row>
    <row r="27" spans="1:9" ht="36" customHeight="1" x14ac:dyDescent="0.2">
      <c r="B27" s="109" t="s">
        <v>195</v>
      </c>
      <c r="C27" s="48" t="s">
        <v>149</v>
      </c>
      <c r="D27" s="48" t="s">
        <v>150</v>
      </c>
      <c r="E27" s="48" t="s">
        <v>151</v>
      </c>
      <c r="F27" s="48" t="s">
        <v>117</v>
      </c>
      <c r="G27" s="48" t="s">
        <v>55</v>
      </c>
      <c r="H27" s="111">
        <v>5</v>
      </c>
    </row>
    <row r="28" spans="1:9" ht="17.25" customHeight="1" x14ac:dyDescent="0.2">
      <c r="A28" s="42">
        <v>0</v>
      </c>
      <c r="B28" s="110"/>
      <c r="C28" s="49"/>
      <c r="D28" s="49"/>
      <c r="E28" s="49"/>
      <c r="F28" s="49"/>
      <c r="G28" s="53"/>
      <c r="H28" s="111"/>
      <c r="I28" s="1">
        <f>IF(C28="x",4,IF(D28="x",3,IF(E28="x",2,IF(F28="x",1,0))))*H27/4</f>
        <v>0</v>
      </c>
    </row>
    <row r="29" spans="1:9" x14ac:dyDescent="0.2">
      <c r="A29"/>
      <c r="B29"/>
      <c r="C29"/>
      <c r="D29"/>
      <c r="E29"/>
      <c r="F29"/>
      <c r="G29"/>
      <c r="H29"/>
      <c r="I29">
        <f>SUM(I12:I28)</f>
        <v>0</v>
      </c>
    </row>
    <row r="30" spans="1:9" customFormat="1" x14ac:dyDescent="0.2">
      <c r="I30">
        <f>IF(I29&lt;60, 3*I29/60 + 1, 3*(I29-60)/40 + 4)</f>
        <v>1</v>
      </c>
    </row>
    <row r="31" spans="1:9" customFormat="1" x14ac:dyDescent="0.2">
      <c r="A31" s="42"/>
      <c r="I31" s="1"/>
    </row>
    <row r="32" spans="1:9" customFormat="1" x14ac:dyDescent="0.2">
      <c r="A32" s="42"/>
      <c r="F32" s="30"/>
      <c r="G32" s="30"/>
      <c r="H32" s="30"/>
      <c r="I32" s="1"/>
    </row>
    <row r="33" spans="1:9" customFormat="1" x14ac:dyDescent="0.2">
      <c r="A33" s="42"/>
      <c r="F33" s="41"/>
      <c r="G33" s="41"/>
      <c r="H33" s="30"/>
      <c r="I33" s="1"/>
    </row>
    <row r="34" spans="1:9" customFormat="1" x14ac:dyDescent="0.2">
      <c r="A34" s="42"/>
      <c r="F34" s="41"/>
      <c r="G34" s="41"/>
      <c r="I34" s="1"/>
    </row>
    <row r="35" spans="1:9" x14ac:dyDescent="0.2">
      <c r="B35"/>
      <c r="C35"/>
      <c r="D35"/>
      <c r="E35"/>
      <c r="F35" s="41"/>
      <c r="G35" s="41"/>
      <c r="H35"/>
    </row>
    <row r="36" spans="1:9" x14ac:dyDescent="0.2">
      <c r="B36"/>
      <c r="C36"/>
      <c r="D36"/>
      <c r="E36"/>
      <c r="F36" s="41"/>
      <c r="G36" s="41"/>
      <c r="H36"/>
    </row>
    <row r="37" spans="1:9" x14ac:dyDescent="0.2">
      <c r="B37"/>
      <c r="C37"/>
      <c r="D37"/>
      <c r="E37"/>
      <c r="F37" s="41"/>
      <c r="G37" s="41"/>
      <c r="H37"/>
    </row>
    <row r="38" spans="1:9" x14ac:dyDescent="0.2">
      <c r="B38"/>
      <c r="C38"/>
      <c r="D38"/>
      <c r="E38"/>
      <c r="F38" s="41"/>
      <c r="G38" s="41"/>
      <c r="H38"/>
    </row>
    <row r="39" spans="1:9" x14ac:dyDescent="0.2">
      <c r="B39"/>
      <c r="C39"/>
      <c r="D39"/>
      <c r="E39"/>
      <c r="F39" s="41"/>
      <c r="G39" s="41"/>
      <c r="H39"/>
    </row>
    <row r="40" spans="1:9" x14ac:dyDescent="0.2">
      <c r="B40"/>
      <c r="C40"/>
      <c r="D40"/>
      <c r="E40"/>
      <c r="F40" s="41"/>
      <c r="G40" s="41"/>
      <c r="H40"/>
    </row>
    <row r="41" spans="1:9" x14ac:dyDescent="0.2">
      <c r="B41"/>
      <c r="C41"/>
      <c r="D41"/>
      <c r="E41"/>
      <c r="F41" s="41"/>
      <c r="G41" s="41"/>
      <c r="H41"/>
    </row>
    <row r="42" spans="1:9" x14ac:dyDescent="0.2">
      <c r="E42"/>
      <c r="F42" s="41"/>
      <c r="G42" s="41"/>
    </row>
    <row r="43" spans="1:9" x14ac:dyDescent="0.2">
      <c r="E43"/>
      <c r="F43" s="41"/>
      <c r="G43" s="41"/>
    </row>
  </sheetData>
  <sheetProtection selectLockedCells="1"/>
  <mergeCells count="26">
    <mergeCell ref="C1:F1"/>
    <mergeCell ref="C2:F2"/>
    <mergeCell ref="C3:F3"/>
    <mergeCell ref="H19:H20"/>
    <mergeCell ref="B6:H6"/>
    <mergeCell ref="B7:H7"/>
    <mergeCell ref="B11:B12"/>
    <mergeCell ref="B13:B14"/>
    <mergeCell ref="B15:B16"/>
    <mergeCell ref="H15:H16"/>
    <mergeCell ref="B19:B20"/>
    <mergeCell ref="H13:H14"/>
    <mergeCell ref="B17:B18"/>
    <mergeCell ref="H17:H18"/>
    <mergeCell ref="B27:B28"/>
    <mergeCell ref="H27:H28"/>
    <mergeCell ref="B8:B10"/>
    <mergeCell ref="C8:F8"/>
    <mergeCell ref="H8:H9"/>
    <mergeCell ref="H11:H12"/>
    <mergeCell ref="B21:B22"/>
    <mergeCell ref="H21:H22"/>
    <mergeCell ref="B25:B26"/>
    <mergeCell ref="H25:H26"/>
    <mergeCell ref="B23:B24"/>
    <mergeCell ref="H23:H24"/>
  </mergeCells>
  <printOptions horizontalCentered="1"/>
  <pageMargins left="0.25" right="0.25" top="0.75" bottom="0.75" header="0.3" footer="0.3"/>
  <pageSetup scale="65" orientation="portrait" r:id="rId1"/>
  <headerFooter>
    <oddHeader>&amp;C
&amp;G</oddHeader>
  </headerFooter>
  <rowBreaks count="1" manualBreakCount="1">
    <brk id="5" min="1" max="7" man="1"/>
  </row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I29"/>
  <sheetViews>
    <sheetView topLeftCell="A15" zoomScaleNormal="100" zoomScaleSheetLayoutView="100" workbookViewId="0">
      <selection activeCell="I29" sqref="I29"/>
    </sheetView>
  </sheetViews>
  <sheetFormatPr baseColWidth="10" defaultColWidth="11.5" defaultRowHeight="15" x14ac:dyDescent="0.2"/>
  <cols>
    <col min="1" max="1" width="1.83203125" style="1" customWidth="1"/>
    <col min="2" max="2" width="14.6640625" style="7" customWidth="1"/>
    <col min="3" max="6" width="20.5" style="30" customWidth="1"/>
    <col min="7" max="7" width="12.1640625" style="30" customWidth="1"/>
    <col min="8" max="8" width="4.33203125" style="30" customWidth="1"/>
    <col min="9" max="16384" width="11.5" style="1"/>
  </cols>
  <sheetData>
    <row r="1" spans="1:9" ht="20.75" customHeight="1" x14ac:dyDescent="0.25">
      <c r="A1"/>
      <c r="B1" s="5"/>
      <c r="C1" s="71" t="str">
        <f>Acta!$C1</f>
        <v>TALLER DE INTEGRACIÓN DE SOFTWARE</v>
      </c>
      <c r="D1" s="71"/>
      <c r="E1" s="71"/>
      <c r="F1" s="71"/>
      <c r="G1" s="6"/>
      <c r="H1" s="6"/>
    </row>
    <row r="2" spans="1:9" ht="20.75" customHeight="1" x14ac:dyDescent="0.25">
      <c r="A2"/>
      <c r="C2" s="71" t="str">
        <f>Acta!$C2</f>
        <v>[INFORME] - [ENTREGA DE SOFTWARE] - [EXPOSICIÓN]</v>
      </c>
      <c r="D2" s="71"/>
      <c r="E2" s="71"/>
      <c r="F2" s="71"/>
      <c r="G2" s="6"/>
      <c r="H2" s="6"/>
    </row>
    <row r="3" spans="1:9" ht="20.75" customHeight="1" x14ac:dyDescent="0.25">
      <c r="A3"/>
      <c r="C3" s="71" t="str">
        <f>Acta!$C3</f>
        <v>EVALUACIÓN SUMATIVA Nº 1 - 15%</v>
      </c>
      <c r="D3" s="71"/>
      <c r="E3" s="71"/>
      <c r="F3" s="71"/>
      <c r="G3" s="6"/>
      <c r="H3" s="6"/>
    </row>
    <row r="4" spans="1:9" ht="9" customHeight="1" x14ac:dyDescent="0.2">
      <c r="C4" s="45"/>
      <c r="D4" s="45"/>
      <c r="E4" s="45"/>
      <c r="F4" s="45"/>
      <c r="G4" s="45"/>
      <c r="H4" s="45"/>
    </row>
    <row r="5" spans="1:9" ht="23.75" customHeight="1" x14ac:dyDescent="0.2">
      <c r="B5" s="1"/>
      <c r="C5" s="1"/>
      <c r="D5" s="1"/>
      <c r="E5" s="1"/>
      <c r="F5" s="1"/>
      <c r="G5" s="1"/>
      <c r="H5" s="1"/>
    </row>
    <row r="6" spans="1:9" ht="19" x14ac:dyDescent="0.25">
      <c r="B6" s="122" t="s">
        <v>182</v>
      </c>
      <c r="C6" s="122"/>
      <c r="D6" s="122"/>
      <c r="E6" s="122"/>
      <c r="F6" s="122"/>
      <c r="G6" s="122"/>
      <c r="H6" s="122"/>
    </row>
    <row r="7" spans="1:9" x14ac:dyDescent="0.2">
      <c r="B7" s="123" t="s">
        <v>3</v>
      </c>
      <c r="C7" s="123"/>
      <c r="D7" s="123"/>
      <c r="E7" s="123"/>
      <c r="F7" s="123"/>
      <c r="G7" s="123"/>
      <c r="H7" s="123"/>
    </row>
    <row r="8" spans="1:9" ht="15" customHeight="1" x14ac:dyDescent="0.2">
      <c r="B8" s="112" t="s">
        <v>26</v>
      </c>
      <c r="C8" s="114" t="s">
        <v>2</v>
      </c>
      <c r="D8" s="115"/>
      <c r="E8" s="115"/>
      <c r="F8" s="116"/>
      <c r="G8" s="33"/>
      <c r="H8" s="117"/>
    </row>
    <row r="9" spans="1:9" ht="15" customHeight="1" x14ac:dyDescent="0.2">
      <c r="B9" s="112"/>
      <c r="C9" s="31" t="s">
        <v>62</v>
      </c>
      <c r="D9" s="31" t="s">
        <v>63</v>
      </c>
      <c r="E9" s="31" t="s">
        <v>64</v>
      </c>
      <c r="F9" s="31" t="s">
        <v>65</v>
      </c>
      <c r="G9" s="31" t="s">
        <v>66</v>
      </c>
      <c r="H9" s="118"/>
    </row>
    <row r="10" spans="1:9" x14ac:dyDescent="0.2">
      <c r="B10" s="113"/>
      <c r="C10" s="20" t="s">
        <v>56</v>
      </c>
      <c r="D10" s="20" t="s">
        <v>57</v>
      </c>
      <c r="E10" s="20" t="s">
        <v>58</v>
      </c>
      <c r="F10" s="20" t="s">
        <v>59</v>
      </c>
      <c r="G10" s="20" t="s">
        <v>60</v>
      </c>
      <c r="H10" s="35" t="s">
        <v>5</v>
      </c>
    </row>
    <row r="11" spans="1:9" ht="24" x14ac:dyDescent="0.2">
      <c r="B11" s="109" t="s">
        <v>101</v>
      </c>
      <c r="C11" s="48" t="s">
        <v>152</v>
      </c>
      <c r="D11" s="48" t="s">
        <v>153</v>
      </c>
      <c r="E11" s="48" t="s">
        <v>154</v>
      </c>
      <c r="F11" s="48" t="s">
        <v>155</v>
      </c>
      <c r="G11" s="48" t="s">
        <v>55</v>
      </c>
      <c r="H11" s="111">
        <v>10</v>
      </c>
    </row>
    <row r="12" spans="1:9" ht="18.75" customHeight="1" x14ac:dyDescent="0.2">
      <c r="B12" s="110"/>
      <c r="C12" s="49"/>
      <c r="D12" s="49"/>
      <c r="E12" s="49"/>
      <c r="F12" s="49"/>
      <c r="G12" s="53"/>
      <c r="H12" s="111"/>
      <c r="I12" s="1">
        <f>IF(C12="x",4,IF(D12="x",3,IF(E12="x",2,IF(F12="x",1,0))))*H11/4</f>
        <v>0</v>
      </c>
    </row>
    <row r="13" spans="1:9" ht="48" x14ac:dyDescent="0.2">
      <c r="B13" s="124" t="s">
        <v>102</v>
      </c>
      <c r="C13" s="50" t="s">
        <v>157</v>
      </c>
      <c r="D13" s="50" t="s">
        <v>156</v>
      </c>
      <c r="E13" s="50" t="s">
        <v>118</v>
      </c>
      <c r="F13" s="50" t="s">
        <v>119</v>
      </c>
      <c r="G13" s="50" t="s">
        <v>55</v>
      </c>
      <c r="H13" s="126">
        <v>10</v>
      </c>
    </row>
    <row r="14" spans="1:9" ht="18.75" customHeight="1" x14ac:dyDescent="0.2">
      <c r="B14" s="125"/>
      <c r="C14" s="49"/>
      <c r="D14" s="49"/>
      <c r="E14" s="49"/>
      <c r="F14" s="49"/>
      <c r="G14" s="53"/>
      <c r="H14" s="127"/>
      <c r="I14" s="1">
        <f>IF(C14="x",4,IF(D14="x",3,IF(E14="x",2,IF(F14="x",1,0))))*H13/4</f>
        <v>0</v>
      </c>
    </row>
    <row r="15" spans="1:9" ht="36" x14ac:dyDescent="0.2">
      <c r="B15" s="109" t="s">
        <v>103</v>
      </c>
      <c r="C15" s="48" t="s">
        <v>158</v>
      </c>
      <c r="D15" s="48" t="s">
        <v>159</v>
      </c>
      <c r="E15" s="48" t="s">
        <v>160</v>
      </c>
      <c r="F15" s="48" t="s">
        <v>161</v>
      </c>
      <c r="G15" s="48" t="s">
        <v>55</v>
      </c>
      <c r="H15" s="111">
        <v>10</v>
      </c>
    </row>
    <row r="16" spans="1:9" ht="21" customHeight="1" x14ac:dyDescent="0.2">
      <c r="B16" s="110"/>
      <c r="C16" s="49"/>
      <c r="D16" s="49"/>
      <c r="E16" s="49"/>
      <c r="F16" s="49"/>
      <c r="G16" s="53"/>
      <c r="H16" s="111"/>
      <c r="I16" s="1">
        <f>IF(C16="x",4,IF(D16="x",3,IF(E16="x",2,IF(F16="x",1,0))))*H15/4</f>
        <v>0</v>
      </c>
    </row>
    <row r="17" spans="2:9" ht="36" x14ac:dyDescent="0.2">
      <c r="B17" s="124" t="s">
        <v>104</v>
      </c>
      <c r="C17" s="50" t="s">
        <v>165</v>
      </c>
      <c r="D17" s="50" t="s">
        <v>164</v>
      </c>
      <c r="E17" s="50" t="s">
        <v>163</v>
      </c>
      <c r="F17" s="50" t="s">
        <v>162</v>
      </c>
      <c r="G17" s="50" t="s">
        <v>55</v>
      </c>
      <c r="H17" s="126">
        <v>20</v>
      </c>
    </row>
    <row r="18" spans="2:9" ht="22.5" customHeight="1" x14ac:dyDescent="0.2">
      <c r="B18" s="125"/>
      <c r="C18" s="49"/>
      <c r="D18" s="49"/>
      <c r="E18" s="49"/>
      <c r="F18" s="49"/>
      <c r="G18" s="53"/>
      <c r="H18" s="127"/>
      <c r="I18" s="1">
        <f>IF(C18="x",4,IF(D18="x",3,IF(E18="x",2,IF(F18="x",1,0))))*H17/4</f>
        <v>0</v>
      </c>
    </row>
    <row r="19" spans="2:9" ht="36" x14ac:dyDescent="0.2">
      <c r="B19" s="109" t="s">
        <v>96</v>
      </c>
      <c r="C19" s="48" t="s">
        <v>166</v>
      </c>
      <c r="D19" s="48" t="s">
        <v>167</v>
      </c>
      <c r="E19" s="48" t="s">
        <v>168</v>
      </c>
      <c r="F19" s="48" t="s">
        <v>169</v>
      </c>
      <c r="G19" s="48" t="s">
        <v>55</v>
      </c>
      <c r="H19" s="111">
        <v>10</v>
      </c>
    </row>
    <row r="20" spans="2:9" ht="18.75" customHeight="1" x14ac:dyDescent="0.2">
      <c r="B20" s="110"/>
      <c r="C20" s="49"/>
      <c r="D20" s="49"/>
      <c r="E20" s="49"/>
      <c r="F20" s="49"/>
      <c r="G20" s="53"/>
      <c r="H20" s="111"/>
      <c r="I20" s="1">
        <f>IF(C20="x",4,IF(D20="x",3,IF(E20="x",2,IF(F20="x",1,0))))*H19/4</f>
        <v>0</v>
      </c>
    </row>
    <row r="21" spans="2:9" ht="48" x14ac:dyDescent="0.2">
      <c r="B21" s="124" t="s">
        <v>105</v>
      </c>
      <c r="C21" s="50" t="s">
        <v>173</v>
      </c>
      <c r="D21" s="50" t="s">
        <v>172</v>
      </c>
      <c r="E21" s="50" t="s">
        <v>171</v>
      </c>
      <c r="F21" s="50" t="s">
        <v>170</v>
      </c>
      <c r="G21" s="50" t="s">
        <v>55</v>
      </c>
      <c r="H21" s="126">
        <v>20</v>
      </c>
    </row>
    <row r="22" spans="2:9" ht="21" customHeight="1" x14ac:dyDescent="0.2">
      <c r="B22" s="125"/>
      <c r="C22" s="49"/>
      <c r="D22" s="49"/>
      <c r="E22" s="49"/>
      <c r="F22" s="49"/>
      <c r="G22" s="53"/>
      <c r="H22" s="127"/>
      <c r="I22" s="1">
        <f>IF(C22="x",4,IF(D22="x",3,IF(E22="x",2,IF(F22="x",1,0))))*H21/4</f>
        <v>0</v>
      </c>
    </row>
    <row r="23" spans="2:9" ht="48" x14ac:dyDescent="0.2">
      <c r="B23" s="109" t="s">
        <v>106</v>
      </c>
      <c r="C23" s="48" t="s">
        <v>174</v>
      </c>
      <c r="D23" s="48" t="s">
        <v>175</v>
      </c>
      <c r="E23" s="48" t="s">
        <v>176</v>
      </c>
      <c r="F23" s="48" t="s">
        <v>177</v>
      </c>
      <c r="G23" s="48" t="s">
        <v>55</v>
      </c>
      <c r="H23" s="111">
        <v>15</v>
      </c>
    </row>
    <row r="24" spans="2:9" ht="22.5" customHeight="1" x14ac:dyDescent="0.2">
      <c r="B24" s="110"/>
      <c r="C24" s="49"/>
      <c r="D24" s="49"/>
      <c r="E24" s="49"/>
      <c r="F24" s="49"/>
      <c r="G24" s="53"/>
      <c r="H24" s="111"/>
      <c r="I24" s="1">
        <f>IF(C24="x",4,IF(D24="x",3,IF(E24="x",2,IF(F24="x",1,0))))*H23/4</f>
        <v>0</v>
      </c>
    </row>
    <row r="25" spans="2:9" ht="36" x14ac:dyDescent="0.2">
      <c r="B25" s="124" t="s">
        <v>107</v>
      </c>
      <c r="C25" s="50" t="s">
        <v>178</v>
      </c>
      <c r="D25" s="50" t="s">
        <v>179</v>
      </c>
      <c r="E25" s="50" t="s">
        <v>180</v>
      </c>
      <c r="F25" s="50" t="s">
        <v>181</v>
      </c>
      <c r="G25" s="50" t="s">
        <v>55</v>
      </c>
      <c r="H25" s="126">
        <v>5</v>
      </c>
    </row>
    <row r="26" spans="2:9" ht="15" customHeight="1" x14ac:dyDescent="0.2">
      <c r="B26" s="125"/>
      <c r="C26" s="49"/>
      <c r="D26" s="49"/>
      <c r="E26" s="49"/>
      <c r="F26" s="49"/>
      <c r="G26" s="53"/>
      <c r="H26" s="127"/>
      <c r="I26" s="1">
        <f>IF(C26="x",4,IF(D26="x",3,IF(E26="x",2,IF(F26="x",1,0))))*H25/4</f>
        <v>0</v>
      </c>
    </row>
    <row r="27" spans="2:9" x14ac:dyDescent="0.2">
      <c r="B27"/>
      <c r="C27"/>
      <c r="D27"/>
      <c r="E27"/>
      <c r="F27"/>
      <c r="G27"/>
      <c r="H27"/>
    </row>
    <row r="28" spans="2:9" x14ac:dyDescent="0.2">
      <c r="I28" s="1">
        <f>SUM(I12:I26)</f>
        <v>0</v>
      </c>
    </row>
    <row r="29" spans="2:9" x14ac:dyDescent="0.2">
      <c r="I29">
        <f>IF(I28&lt;60, 3*I28/60 + 1, 3*(I28-60)/40 + 4)</f>
        <v>1</v>
      </c>
    </row>
  </sheetData>
  <sheetProtection selectLockedCells="1"/>
  <mergeCells count="24">
    <mergeCell ref="B23:B24"/>
    <mergeCell ref="H23:H24"/>
    <mergeCell ref="B19:B20"/>
    <mergeCell ref="B11:B12"/>
    <mergeCell ref="H11:H12"/>
    <mergeCell ref="H19:H20"/>
    <mergeCell ref="B21:B22"/>
    <mergeCell ref="H21:H22"/>
    <mergeCell ref="B25:B26"/>
    <mergeCell ref="H25:H26"/>
    <mergeCell ref="C1:F1"/>
    <mergeCell ref="C2:F2"/>
    <mergeCell ref="C3:F3"/>
    <mergeCell ref="B6:H6"/>
    <mergeCell ref="B7:H7"/>
    <mergeCell ref="B13:B14"/>
    <mergeCell ref="H13:H14"/>
    <mergeCell ref="B15:B16"/>
    <mergeCell ref="H15:H16"/>
    <mergeCell ref="B17:B18"/>
    <mergeCell ref="H17:H18"/>
    <mergeCell ref="B8:B10"/>
    <mergeCell ref="C8:F8"/>
    <mergeCell ref="H8:H9"/>
  </mergeCells>
  <printOptions horizontalCentered="1"/>
  <pageMargins left="0.23622047244094491" right="0.23622047244094491" top="0.74803149606299213" bottom="0.74803149606299213" header="0.31496062992125984" footer="0.31496062992125984"/>
  <pageSetup scale="85" orientation="portrait" r:id="rId1"/>
  <headerFooter>
    <oddHeader>&amp;C
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A1:I55"/>
  <sheetViews>
    <sheetView topLeftCell="A3" zoomScaleNormal="100" zoomScaleSheetLayoutView="100" workbookViewId="0">
      <selection activeCell="I25" sqref="I25"/>
    </sheetView>
  </sheetViews>
  <sheetFormatPr baseColWidth="10" defaultColWidth="11.5" defaultRowHeight="15" x14ac:dyDescent="0.2"/>
  <cols>
    <col min="1" max="1" width="1.83203125" style="1" customWidth="1"/>
    <col min="2" max="2" width="16.6640625" style="7" customWidth="1"/>
    <col min="3" max="3" width="46.6640625" style="54" customWidth="1"/>
    <col min="4" max="7" width="5.5" style="54" customWidth="1"/>
    <col min="8" max="8" width="5.83203125" style="54" customWidth="1"/>
    <col min="9" max="9" width="6.33203125" style="1" customWidth="1"/>
    <col min="10" max="16384" width="11.5" style="5"/>
  </cols>
  <sheetData>
    <row r="1" spans="2:9" ht="20.75" customHeight="1" x14ac:dyDescent="0.25">
      <c r="B1" s="5"/>
      <c r="C1" s="71" t="str">
        <f>Acta!$C1</f>
        <v>TALLER DE INTEGRACIÓN DE SOFTWARE</v>
      </c>
      <c r="D1" s="71"/>
      <c r="E1" s="71"/>
      <c r="F1" s="71"/>
      <c r="G1" s="6"/>
      <c r="H1" s="6"/>
    </row>
    <row r="2" spans="2:9" ht="20.75" customHeight="1" x14ac:dyDescent="0.25">
      <c r="C2" s="71" t="str">
        <f>Acta!$C2</f>
        <v>[INFORME] - [ENTREGA DE SOFTWARE] - [EXPOSICIÓN]</v>
      </c>
      <c r="D2" s="71"/>
      <c r="E2" s="71"/>
      <c r="F2" s="71"/>
      <c r="G2" s="6"/>
      <c r="H2" s="6"/>
    </row>
    <row r="3" spans="2:9" ht="20.75" customHeight="1" x14ac:dyDescent="0.25">
      <c r="C3" s="71" t="str">
        <f>Acta!$C3</f>
        <v>EVALUACIÓN SUMATIVA Nº 1 - 15%</v>
      </c>
      <c r="D3" s="71"/>
      <c r="E3" s="71"/>
      <c r="F3" s="71"/>
      <c r="G3" s="6"/>
      <c r="H3" s="6"/>
    </row>
    <row r="4" spans="2:9" ht="9" customHeight="1" x14ac:dyDescent="0.2"/>
    <row r="5" spans="2:9" ht="19" x14ac:dyDescent="0.25">
      <c r="B5" s="122" t="s">
        <v>61</v>
      </c>
      <c r="C5" s="122"/>
      <c r="D5" s="122"/>
      <c r="E5" s="122"/>
      <c r="F5" s="122"/>
      <c r="G5" s="122"/>
      <c r="H5" s="122"/>
      <c r="I5" s="19"/>
    </row>
    <row r="6" spans="2:9" x14ac:dyDescent="0.2">
      <c r="B6" s="123" t="s">
        <v>3</v>
      </c>
      <c r="C6" s="123"/>
      <c r="D6" s="123"/>
      <c r="E6" s="123"/>
      <c r="F6" s="123"/>
      <c r="G6" s="123"/>
      <c r="H6" s="123"/>
      <c r="I6" s="19"/>
    </row>
    <row r="7" spans="2:9" x14ac:dyDescent="0.2">
      <c r="B7" s="145" t="s">
        <v>0</v>
      </c>
      <c r="C7" s="147" t="s">
        <v>1</v>
      </c>
      <c r="D7" s="149" t="s">
        <v>2</v>
      </c>
      <c r="E7" s="149"/>
      <c r="F7" s="114"/>
      <c r="G7" s="115"/>
      <c r="H7" s="116"/>
    </row>
    <row r="8" spans="2:9" ht="14.25" customHeight="1" x14ac:dyDescent="0.2">
      <c r="B8" s="146"/>
      <c r="C8" s="148"/>
      <c r="D8" s="55" t="s">
        <v>67</v>
      </c>
      <c r="E8" s="55" t="s">
        <v>54</v>
      </c>
      <c r="F8" s="114"/>
      <c r="G8" s="115"/>
      <c r="H8" s="116"/>
    </row>
    <row r="9" spans="2:9" ht="24" customHeight="1" x14ac:dyDescent="0.2">
      <c r="B9" s="146"/>
      <c r="C9" s="148"/>
      <c r="D9" s="36" t="s">
        <v>59</v>
      </c>
      <c r="E9" s="36" t="s">
        <v>60</v>
      </c>
      <c r="F9" s="114"/>
      <c r="G9" s="115"/>
      <c r="H9" s="116"/>
    </row>
    <row r="10" spans="2:9" x14ac:dyDescent="0.2">
      <c r="B10" s="132" t="s">
        <v>77</v>
      </c>
      <c r="C10" s="133"/>
      <c r="D10" s="133"/>
      <c r="E10" s="134"/>
      <c r="F10" s="135"/>
      <c r="G10" s="135"/>
      <c r="H10" s="136"/>
    </row>
    <row r="11" spans="2:9" ht="28" customHeight="1" x14ac:dyDescent="0.2">
      <c r="B11" s="65" t="s">
        <v>78</v>
      </c>
      <c r="C11" s="137" t="s">
        <v>85</v>
      </c>
      <c r="D11" s="138"/>
      <c r="E11" s="139"/>
      <c r="F11" s="66"/>
      <c r="G11" s="67"/>
      <c r="H11" s="68"/>
    </row>
    <row r="12" spans="2:9" ht="28" customHeight="1" x14ac:dyDescent="0.2">
      <c r="B12" s="56" t="s">
        <v>79</v>
      </c>
      <c r="C12" s="64" t="s">
        <v>123</v>
      </c>
      <c r="D12" s="40"/>
      <c r="E12" s="40"/>
      <c r="F12" s="140">
        <v>10</v>
      </c>
      <c r="G12" s="141"/>
      <c r="H12" s="142"/>
      <c r="I12" s="1">
        <f>IF(D12="x",F12,0)</f>
        <v>0</v>
      </c>
    </row>
    <row r="13" spans="2:9" ht="28" customHeight="1" x14ac:dyDescent="0.2">
      <c r="B13" s="56" t="s">
        <v>80</v>
      </c>
      <c r="C13" s="64" t="s">
        <v>124</v>
      </c>
      <c r="D13" s="40"/>
      <c r="E13" s="40"/>
      <c r="F13" s="140">
        <v>10</v>
      </c>
      <c r="G13" s="141"/>
      <c r="H13" s="142"/>
      <c r="I13" s="1">
        <f t="shared" ref="I13:I23" si="0">IF(D13="x",F13,0)</f>
        <v>0</v>
      </c>
    </row>
    <row r="14" spans="2:9" ht="28" customHeight="1" x14ac:dyDescent="0.2">
      <c r="B14" s="38" t="s">
        <v>121</v>
      </c>
      <c r="C14" s="52" t="s">
        <v>120</v>
      </c>
      <c r="D14" s="40"/>
      <c r="E14" s="40"/>
      <c r="F14" s="140">
        <v>10</v>
      </c>
      <c r="G14" s="141"/>
      <c r="H14" s="142"/>
      <c r="I14" s="1">
        <f t="shared" si="0"/>
        <v>0</v>
      </c>
    </row>
    <row r="15" spans="2:9" ht="28" customHeight="1" x14ac:dyDescent="0.2">
      <c r="B15" s="37" t="s">
        <v>122</v>
      </c>
      <c r="C15" s="51" t="s">
        <v>120</v>
      </c>
      <c r="D15" s="39"/>
      <c r="E15" s="39"/>
      <c r="F15" s="128">
        <v>10</v>
      </c>
      <c r="G15" s="129"/>
      <c r="H15" s="130"/>
      <c r="I15" s="1">
        <f t="shared" si="0"/>
        <v>0</v>
      </c>
    </row>
    <row r="16" spans="2:9" ht="16" x14ac:dyDescent="0.2">
      <c r="B16" s="143" t="s">
        <v>83</v>
      </c>
      <c r="C16" s="144"/>
      <c r="D16" s="144"/>
      <c r="E16" s="144"/>
      <c r="F16" s="57"/>
      <c r="G16" s="57"/>
      <c r="H16" s="58"/>
      <c r="I16" s="1">
        <f t="shared" si="0"/>
        <v>0</v>
      </c>
    </row>
    <row r="17" spans="2:9" ht="38.25" customHeight="1" x14ac:dyDescent="0.2">
      <c r="B17" s="38" t="s">
        <v>110</v>
      </c>
      <c r="C17" s="52" t="s">
        <v>111</v>
      </c>
      <c r="D17" s="40"/>
      <c r="E17" s="40"/>
      <c r="F17" s="140">
        <v>10</v>
      </c>
      <c r="G17" s="141"/>
      <c r="H17" s="142"/>
      <c r="I17" s="1">
        <f t="shared" si="0"/>
        <v>0</v>
      </c>
    </row>
    <row r="18" spans="2:9" ht="38.25" customHeight="1" x14ac:dyDescent="0.2">
      <c r="B18" s="37" t="s">
        <v>108</v>
      </c>
      <c r="C18" s="51" t="s">
        <v>109</v>
      </c>
      <c r="D18" s="39"/>
      <c r="E18" s="39"/>
      <c r="F18" s="128">
        <v>10</v>
      </c>
      <c r="G18" s="129"/>
      <c r="H18" s="130"/>
      <c r="I18" s="1">
        <f t="shared" si="0"/>
        <v>0</v>
      </c>
    </row>
    <row r="19" spans="2:9" ht="38.25" customHeight="1" x14ac:dyDescent="0.2">
      <c r="B19" s="38" t="s">
        <v>113</v>
      </c>
      <c r="C19" s="52" t="s">
        <v>114</v>
      </c>
      <c r="D19" s="40"/>
      <c r="E19" s="40"/>
      <c r="F19" s="140">
        <v>10</v>
      </c>
      <c r="G19" s="141"/>
      <c r="H19" s="142"/>
      <c r="I19" s="1">
        <f t="shared" si="0"/>
        <v>0</v>
      </c>
    </row>
    <row r="20" spans="2:9" ht="28" customHeight="1" x14ac:dyDescent="0.2">
      <c r="B20" s="37" t="s">
        <v>115</v>
      </c>
      <c r="C20" s="51" t="s">
        <v>116</v>
      </c>
      <c r="D20" s="39"/>
      <c r="E20" s="39"/>
      <c r="F20" s="128">
        <v>10</v>
      </c>
      <c r="G20" s="129"/>
      <c r="H20" s="130"/>
      <c r="I20" s="1">
        <f t="shared" si="0"/>
        <v>0</v>
      </c>
    </row>
    <row r="21" spans="2:9" ht="16" x14ac:dyDescent="0.2">
      <c r="B21" s="143" t="s">
        <v>68</v>
      </c>
      <c r="C21" s="144"/>
      <c r="D21" s="144"/>
      <c r="E21" s="144"/>
      <c r="F21" s="59"/>
      <c r="G21" s="59"/>
      <c r="H21" s="60"/>
      <c r="I21" s="1">
        <f t="shared" si="0"/>
        <v>0</v>
      </c>
    </row>
    <row r="22" spans="2:9" ht="28" customHeight="1" x14ac:dyDescent="0.2">
      <c r="B22" s="38" t="s">
        <v>69</v>
      </c>
      <c r="C22" s="52" t="s">
        <v>70</v>
      </c>
      <c r="D22" s="40"/>
      <c r="E22" s="40"/>
      <c r="F22" s="140">
        <v>10</v>
      </c>
      <c r="G22" s="141"/>
      <c r="H22" s="142"/>
      <c r="I22" s="1">
        <f t="shared" si="0"/>
        <v>0</v>
      </c>
    </row>
    <row r="23" spans="2:9" ht="28" customHeight="1" x14ac:dyDescent="0.2">
      <c r="B23" s="37" t="s">
        <v>71</v>
      </c>
      <c r="C23" s="51" t="s">
        <v>72</v>
      </c>
      <c r="D23" s="39"/>
      <c r="E23" s="39"/>
      <c r="F23" s="128">
        <v>10</v>
      </c>
      <c r="G23" s="129"/>
      <c r="H23" s="130"/>
      <c r="I23" s="1">
        <f t="shared" si="0"/>
        <v>0</v>
      </c>
    </row>
    <row r="24" spans="2:9" ht="27.75" customHeight="1" x14ac:dyDescent="0.2">
      <c r="B24" s="61" t="s">
        <v>81</v>
      </c>
      <c r="C24" s="62"/>
      <c r="D24" s="62"/>
      <c r="E24" s="62"/>
      <c r="F24" s="62"/>
      <c r="G24" s="62"/>
      <c r="H24" s="62"/>
      <c r="I24" s="1">
        <f>SUM(I12:I23)</f>
        <v>0</v>
      </c>
    </row>
    <row r="25" spans="2:9" s="1" customFormat="1" ht="27.75" customHeight="1" x14ac:dyDescent="0.2">
      <c r="B25" s="131" t="s">
        <v>82</v>
      </c>
      <c r="C25" s="131"/>
      <c r="D25" s="131"/>
      <c r="E25" s="131"/>
      <c r="F25" s="131"/>
      <c r="G25" s="131"/>
      <c r="H25" s="131"/>
      <c r="I25">
        <f>IF(I24&lt;60, 3*I24/60 + 1, 3*(I24-60)/40 + 4)</f>
        <v>1</v>
      </c>
    </row>
    <row r="26" spans="2:9" s="1" customFormat="1" ht="20.25" customHeight="1" x14ac:dyDescent="0.2">
      <c r="I26" s="63"/>
    </row>
    <row r="27" spans="2:9" s="1" customFormat="1" x14ac:dyDescent="0.2"/>
    <row r="28" spans="2:9" s="1" customFormat="1" ht="27.75" customHeight="1" x14ac:dyDescent="0.2"/>
    <row r="29" spans="2:9" s="1" customFormat="1" ht="27.75" customHeight="1" x14ac:dyDescent="0.2"/>
    <row r="30" spans="2:9" ht="18.75" customHeight="1" x14ac:dyDescent="0.2">
      <c r="B30" s="1"/>
      <c r="C30" s="1"/>
      <c r="D30" s="1"/>
      <c r="E30" s="1"/>
      <c r="F30" s="1"/>
      <c r="G30" s="1"/>
      <c r="H30" s="1"/>
    </row>
    <row r="31" spans="2:9" ht="15" customHeight="1" x14ac:dyDescent="0.2">
      <c r="B31" s="1"/>
      <c r="C31" s="1"/>
      <c r="D31" s="1"/>
      <c r="E31" s="1"/>
      <c r="F31" s="1"/>
      <c r="G31" s="1"/>
      <c r="H31" s="1"/>
    </row>
    <row r="32" spans="2:9" ht="14.25" customHeight="1" x14ac:dyDescent="0.2">
      <c r="B32" s="1"/>
      <c r="C32" s="1"/>
      <c r="D32" s="1"/>
      <c r="E32" s="1"/>
      <c r="F32" s="1"/>
      <c r="G32" s="1"/>
      <c r="H32" s="1"/>
    </row>
    <row r="33" spans="2:8" ht="14.25" customHeight="1" x14ac:dyDescent="0.2">
      <c r="B33" s="1"/>
      <c r="C33" s="1"/>
      <c r="D33" s="1"/>
      <c r="E33" s="1"/>
      <c r="F33" s="1"/>
      <c r="G33" s="1"/>
      <c r="H33" s="1"/>
    </row>
    <row r="34" spans="2:8" ht="14.25" customHeight="1" x14ac:dyDescent="0.2">
      <c r="B34" s="1"/>
      <c r="C34" s="1"/>
      <c r="D34" s="1"/>
      <c r="E34" s="1"/>
      <c r="F34" s="1"/>
      <c r="G34" s="1"/>
      <c r="H34" s="1"/>
    </row>
    <row r="35" spans="2:8" x14ac:dyDescent="0.2">
      <c r="B35" s="1"/>
      <c r="C35" s="1"/>
      <c r="D35" s="1"/>
      <c r="E35" s="1"/>
      <c r="F35" s="1"/>
      <c r="G35" s="1"/>
      <c r="H35" s="1"/>
    </row>
    <row r="36" spans="2:8" ht="14.25" customHeight="1" x14ac:dyDescent="0.2">
      <c r="B36" s="1"/>
      <c r="C36" s="1"/>
      <c r="D36" s="1"/>
      <c r="E36" s="1"/>
      <c r="F36" s="1"/>
      <c r="G36" s="1"/>
      <c r="H36" s="1"/>
    </row>
    <row r="37" spans="2:8" ht="23.25" customHeight="1" x14ac:dyDescent="0.2">
      <c r="B37" s="1"/>
      <c r="C37" s="1"/>
      <c r="D37" s="1"/>
      <c r="E37" s="1"/>
      <c r="F37" s="1"/>
      <c r="G37" s="1"/>
      <c r="H37" s="1"/>
    </row>
    <row r="38" spans="2:8" ht="14.25" customHeight="1" x14ac:dyDescent="0.2">
      <c r="B38" s="1"/>
      <c r="C38" s="1"/>
      <c r="D38" s="1"/>
      <c r="E38" s="1"/>
      <c r="F38" s="1"/>
      <c r="G38" s="1"/>
      <c r="H38" s="1"/>
    </row>
    <row r="39" spans="2:8" ht="14.25" customHeight="1" x14ac:dyDescent="0.2">
      <c r="B39" s="1"/>
      <c r="C39" s="1"/>
      <c r="D39" s="1"/>
      <c r="E39" s="1"/>
      <c r="F39" s="1"/>
      <c r="G39" s="1"/>
      <c r="H39" s="1"/>
    </row>
    <row r="40" spans="2:8" ht="14.25" customHeight="1" x14ac:dyDescent="0.2">
      <c r="B40" s="1"/>
      <c r="C40" s="1"/>
      <c r="D40" s="1"/>
      <c r="E40" s="1"/>
      <c r="F40" s="1"/>
      <c r="G40" s="1"/>
      <c r="H40" s="1"/>
    </row>
    <row r="41" spans="2:8" ht="14.25" customHeight="1" x14ac:dyDescent="0.2">
      <c r="B41" s="1"/>
      <c r="C41" s="1"/>
      <c r="D41" s="1"/>
      <c r="E41" s="1"/>
      <c r="F41" s="1"/>
      <c r="G41" s="1"/>
      <c r="H41" s="1"/>
    </row>
    <row r="42" spans="2:8" ht="14.25" customHeight="1" x14ac:dyDescent="0.2">
      <c r="B42" s="1"/>
      <c r="C42" s="1"/>
      <c r="D42" s="1"/>
      <c r="E42" s="1"/>
      <c r="F42" s="1"/>
      <c r="G42" s="1"/>
      <c r="H42" s="1"/>
    </row>
    <row r="43" spans="2:8" ht="14.25" customHeight="1" x14ac:dyDescent="0.2">
      <c r="B43" s="1"/>
      <c r="C43" s="1"/>
      <c r="D43" s="1"/>
      <c r="E43" s="1"/>
      <c r="F43" s="1"/>
      <c r="G43" s="1"/>
      <c r="H43" s="1"/>
    </row>
    <row r="44" spans="2:8" ht="15" customHeight="1" x14ac:dyDescent="0.2">
      <c r="B44" s="1"/>
      <c r="C44" s="1"/>
      <c r="D44" s="1"/>
      <c r="E44" s="1"/>
      <c r="F44" s="1"/>
      <c r="G44" s="1"/>
      <c r="H44" s="1"/>
    </row>
    <row r="45" spans="2:8" x14ac:dyDescent="0.2">
      <c r="B45" s="1"/>
      <c r="C45" s="1"/>
      <c r="D45" s="1"/>
      <c r="E45" s="1"/>
      <c r="F45" s="1"/>
      <c r="G45" s="1"/>
      <c r="H45" s="1"/>
    </row>
    <row r="46" spans="2:8" ht="15" customHeight="1" x14ac:dyDescent="0.2">
      <c r="B46" s="1"/>
      <c r="C46" s="1"/>
      <c r="D46" s="1"/>
      <c r="E46" s="1"/>
      <c r="F46" s="1"/>
      <c r="G46" s="1"/>
      <c r="H46" s="1"/>
    </row>
    <row r="47" spans="2:8" x14ac:dyDescent="0.2">
      <c r="B47" s="1"/>
      <c r="C47" s="1"/>
      <c r="D47" s="1"/>
      <c r="E47" s="1"/>
      <c r="F47" s="1"/>
      <c r="G47" s="1"/>
      <c r="H47" s="1"/>
    </row>
    <row r="48" spans="2:8" x14ac:dyDescent="0.2">
      <c r="B48" s="1"/>
      <c r="C48" s="1"/>
      <c r="D48" s="1"/>
      <c r="E48" s="1"/>
      <c r="F48" s="1"/>
      <c r="G48" s="1"/>
      <c r="H48" s="1"/>
    </row>
    <row r="49" spans="2:8" x14ac:dyDescent="0.2">
      <c r="B49" s="1"/>
      <c r="C49" s="1"/>
      <c r="D49" s="1"/>
      <c r="E49" s="1"/>
      <c r="F49" s="1"/>
      <c r="G49" s="1"/>
      <c r="H49" s="1"/>
    </row>
    <row r="50" spans="2:8" x14ac:dyDescent="0.2">
      <c r="B50" s="1"/>
      <c r="C50" s="1"/>
      <c r="D50" s="1"/>
      <c r="E50" s="1"/>
      <c r="F50" s="1"/>
      <c r="G50" s="1"/>
      <c r="H50" s="1"/>
    </row>
    <row r="51" spans="2:8" x14ac:dyDescent="0.2">
      <c r="B51" s="1"/>
      <c r="C51" s="1"/>
      <c r="D51" s="1"/>
      <c r="E51" s="1"/>
      <c r="F51" s="1"/>
      <c r="G51" s="1"/>
      <c r="H51" s="1"/>
    </row>
    <row r="52" spans="2:8" x14ac:dyDescent="0.2">
      <c r="B52" s="1"/>
      <c r="C52" s="1"/>
      <c r="D52" s="1"/>
      <c r="E52" s="1"/>
      <c r="F52" s="1"/>
      <c r="G52" s="1"/>
      <c r="H52" s="1"/>
    </row>
    <row r="53" spans="2:8" x14ac:dyDescent="0.2">
      <c r="B53" s="1"/>
      <c r="C53" s="1"/>
      <c r="D53" s="1"/>
      <c r="E53" s="1"/>
      <c r="F53" s="1"/>
      <c r="G53" s="1"/>
      <c r="H53" s="1"/>
    </row>
    <row r="54" spans="2:8" x14ac:dyDescent="0.2">
      <c r="B54" s="1"/>
      <c r="C54" s="1"/>
      <c r="D54" s="1"/>
      <c r="E54" s="1"/>
      <c r="F54" s="1"/>
      <c r="G54" s="1"/>
      <c r="H54" s="1"/>
    </row>
    <row r="55" spans="2:8" x14ac:dyDescent="0.2">
      <c r="B55" s="1"/>
      <c r="C55" s="1"/>
      <c r="D55" s="1"/>
      <c r="E55" s="1"/>
      <c r="F55" s="1"/>
      <c r="G55" s="1"/>
      <c r="H55" s="1"/>
    </row>
  </sheetData>
  <sheetProtection selectLockedCells="1"/>
  <mergeCells count="25">
    <mergeCell ref="B7:B9"/>
    <mergeCell ref="C7:C9"/>
    <mergeCell ref="F17:H17"/>
    <mergeCell ref="F20:H20"/>
    <mergeCell ref="D7:E7"/>
    <mergeCell ref="F7:H9"/>
    <mergeCell ref="F18:H18"/>
    <mergeCell ref="F19:H19"/>
    <mergeCell ref="B5:H5"/>
    <mergeCell ref="B6:H6"/>
    <mergeCell ref="C1:F1"/>
    <mergeCell ref="C2:F2"/>
    <mergeCell ref="C3:F3"/>
    <mergeCell ref="F23:H23"/>
    <mergeCell ref="B25:H25"/>
    <mergeCell ref="B10:E10"/>
    <mergeCell ref="F10:H10"/>
    <mergeCell ref="C11:E11"/>
    <mergeCell ref="F12:H12"/>
    <mergeCell ref="F13:H13"/>
    <mergeCell ref="B21:E21"/>
    <mergeCell ref="F22:H22"/>
    <mergeCell ref="F14:H14"/>
    <mergeCell ref="F15:H15"/>
    <mergeCell ref="B16:E16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portrait" r:id="rId1"/>
  <headerFooter>
    <oddHeader>&amp;C
&amp;G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pageSetUpPr fitToPage="1"/>
  </sheetPr>
  <dimension ref="A1:Y21"/>
  <sheetViews>
    <sheetView topLeftCell="I2" zoomScaleNormal="100" workbookViewId="0">
      <selection activeCell="Q21" sqref="Q21"/>
    </sheetView>
  </sheetViews>
  <sheetFormatPr baseColWidth="10" defaultColWidth="11.5" defaultRowHeight="15" x14ac:dyDescent="0.2"/>
  <cols>
    <col min="1" max="1" width="1.83203125" style="1" customWidth="1"/>
    <col min="2" max="2" width="15.1640625" style="7" customWidth="1"/>
    <col min="3" max="5" width="18.1640625" style="8" customWidth="1"/>
    <col min="6" max="6" width="17.83203125" style="8" customWidth="1"/>
    <col min="7" max="7" width="11.1640625" style="34" customWidth="1"/>
    <col min="8" max="8" width="4.33203125" style="8" customWidth="1"/>
    <col min="9" max="9" width="4.33203125" customWidth="1"/>
    <col min="10" max="10" width="15.1640625" style="7" customWidth="1"/>
    <col min="11" max="13" width="18.1640625" style="8" customWidth="1"/>
    <col min="14" max="14" width="17.83203125" style="8" customWidth="1"/>
    <col min="15" max="15" width="11.1640625" style="34" customWidth="1"/>
    <col min="16" max="16" width="4.33203125" style="8" customWidth="1"/>
    <col min="17" max="17" width="4.33203125" customWidth="1"/>
    <col min="18" max="18" width="15.1640625" style="7" customWidth="1"/>
    <col min="19" max="22" width="18.1640625" style="8" customWidth="1"/>
    <col min="23" max="23" width="11.1640625" style="34" customWidth="1"/>
    <col min="24" max="24" width="4.33203125" style="8" customWidth="1"/>
    <col min="25" max="25" width="11.5" style="5" customWidth="1"/>
    <col min="26" max="16384" width="11.5" style="5"/>
  </cols>
  <sheetData>
    <row r="1" spans="2:25" customFormat="1" ht="20.75" customHeight="1" x14ac:dyDescent="0.25">
      <c r="B1" s="5"/>
      <c r="C1" s="71" t="str">
        <f>Acta!$C1</f>
        <v>TALLER DE INTEGRACIÓN DE SOFTWARE</v>
      </c>
      <c r="D1" s="71"/>
      <c r="E1" s="71"/>
      <c r="F1" s="71"/>
      <c r="G1" s="6"/>
      <c r="H1" s="6"/>
      <c r="J1" s="5"/>
      <c r="K1" s="71" t="str">
        <f>Acta!$C1</f>
        <v>TALLER DE INTEGRACIÓN DE SOFTWARE</v>
      </c>
      <c r="L1" s="71"/>
      <c r="M1" s="71"/>
      <c r="N1" s="71"/>
      <c r="O1" s="6"/>
      <c r="P1" s="6"/>
      <c r="R1" s="5"/>
      <c r="S1" s="71" t="str">
        <f>Acta!$C1</f>
        <v>TALLER DE INTEGRACIÓN DE SOFTWARE</v>
      </c>
      <c r="T1" s="71"/>
      <c r="U1" s="71"/>
      <c r="V1" s="71"/>
      <c r="W1" s="6"/>
      <c r="X1" s="6"/>
    </row>
    <row r="2" spans="2:25" customFormat="1" ht="20.75" customHeight="1" x14ac:dyDescent="0.25">
      <c r="B2" s="7"/>
      <c r="C2" s="71" t="str">
        <f>Acta!$C2</f>
        <v>[INFORME] - [ENTREGA DE SOFTWARE] - [EXPOSICIÓN]</v>
      </c>
      <c r="D2" s="71"/>
      <c r="E2" s="71"/>
      <c r="F2" s="71"/>
      <c r="G2" s="6"/>
      <c r="H2" s="6"/>
      <c r="J2" s="7"/>
      <c r="K2" s="71" t="str">
        <f>Acta!$C2</f>
        <v>[INFORME] - [ENTREGA DE SOFTWARE] - [EXPOSICIÓN]</v>
      </c>
      <c r="L2" s="71"/>
      <c r="M2" s="71"/>
      <c r="N2" s="71"/>
      <c r="O2" s="6"/>
      <c r="P2" s="6"/>
      <c r="R2" s="7"/>
      <c r="S2" s="71" t="str">
        <f>Acta!$C2</f>
        <v>[INFORME] - [ENTREGA DE SOFTWARE] - [EXPOSICIÓN]</v>
      </c>
      <c r="T2" s="71"/>
      <c r="U2" s="71"/>
      <c r="V2" s="71"/>
      <c r="W2" s="6"/>
      <c r="X2" s="6"/>
    </row>
    <row r="3" spans="2:25" customFormat="1" ht="20.75" customHeight="1" x14ac:dyDescent="0.25">
      <c r="B3" s="7"/>
      <c r="C3" s="71" t="str">
        <f>Acta!$C3</f>
        <v>EVALUACIÓN SUMATIVA Nº 1 - 15%</v>
      </c>
      <c r="D3" s="71"/>
      <c r="E3" s="71"/>
      <c r="F3" s="71"/>
      <c r="G3" s="6"/>
      <c r="H3" s="6"/>
      <c r="J3" s="7"/>
      <c r="K3" s="71" t="str">
        <f>Acta!$C3</f>
        <v>EVALUACIÓN SUMATIVA Nº 1 - 15%</v>
      </c>
      <c r="L3" s="71"/>
      <c r="M3" s="71"/>
      <c r="N3" s="71"/>
      <c r="O3" s="6"/>
      <c r="P3" s="6"/>
      <c r="R3" s="7"/>
      <c r="S3" s="71" t="str">
        <f>Acta!$C3</f>
        <v>EVALUACIÓN SUMATIVA Nº 1 - 15%</v>
      </c>
      <c r="T3" s="71"/>
      <c r="U3" s="71"/>
      <c r="V3" s="71"/>
      <c r="W3" s="6"/>
      <c r="X3" s="6"/>
    </row>
    <row r="4" spans="2:25" ht="9" customHeight="1" x14ac:dyDescent="0.2">
      <c r="C4" s="45"/>
      <c r="D4" s="45"/>
      <c r="E4" s="45"/>
      <c r="F4" s="45"/>
      <c r="G4" s="45"/>
      <c r="H4" s="45"/>
      <c r="K4" s="45"/>
      <c r="L4" s="45"/>
      <c r="M4" s="45"/>
      <c r="N4" s="45"/>
      <c r="O4" s="45"/>
      <c r="P4" s="45"/>
      <c r="S4" s="45"/>
      <c r="T4" s="45"/>
      <c r="U4" s="45"/>
      <c r="V4" s="45"/>
      <c r="W4" s="45"/>
      <c r="X4" s="45"/>
    </row>
    <row r="5" spans="2:25" ht="7.5" customHeight="1" x14ac:dyDescent="0.2">
      <c r="B5" s="1"/>
      <c r="C5" s="1"/>
      <c r="D5" s="1"/>
      <c r="E5" s="1"/>
      <c r="F5" s="1"/>
      <c r="G5" s="1"/>
      <c r="H5" s="1"/>
      <c r="J5" s="1"/>
      <c r="K5" s="1"/>
      <c r="L5" s="1"/>
      <c r="M5" s="1"/>
      <c r="N5" s="1"/>
      <c r="O5" s="1"/>
      <c r="P5" s="1"/>
      <c r="R5" s="1"/>
      <c r="S5" s="1"/>
      <c r="T5" s="1"/>
      <c r="U5" s="1"/>
      <c r="V5" s="1"/>
      <c r="W5" s="1"/>
      <c r="X5" s="1"/>
    </row>
    <row r="6" spans="2:25" ht="19" x14ac:dyDescent="0.25">
      <c r="B6" s="12" t="s">
        <v>30</v>
      </c>
      <c r="C6" s="12"/>
      <c r="D6" s="12"/>
      <c r="E6" s="150" t="s">
        <v>3</v>
      </c>
      <c r="F6" s="150"/>
      <c r="G6" s="150"/>
      <c r="H6" s="150"/>
      <c r="J6" s="12" t="s">
        <v>30</v>
      </c>
      <c r="K6" s="12"/>
      <c r="L6" s="12"/>
      <c r="M6" s="150" t="s">
        <v>3</v>
      </c>
      <c r="N6" s="150"/>
      <c r="O6" s="150"/>
      <c r="P6" s="150"/>
      <c r="R6" s="12" t="s">
        <v>30</v>
      </c>
      <c r="S6" s="12"/>
      <c r="T6" s="12"/>
      <c r="U6" s="150" t="s">
        <v>3</v>
      </c>
      <c r="V6" s="150"/>
      <c r="W6" s="150"/>
      <c r="X6" s="150"/>
    </row>
    <row r="7" spans="2:25" ht="16" x14ac:dyDescent="0.2">
      <c r="B7" s="155" t="str">
        <f>Acta!C11</f>
        <v>Nombre de Estudiante 1</v>
      </c>
      <c r="C7" s="155"/>
      <c r="D7" s="155"/>
      <c r="E7" s="155"/>
      <c r="F7" s="155"/>
      <c r="G7" s="155"/>
      <c r="H7" s="155"/>
      <c r="J7" s="155" t="str">
        <f>Acta!C12</f>
        <v>Nombre de Estudiante 2</v>
      </c>
      <c r="K7" s="155"/>
      <c r="L7" s="155"/>
      <c r="M7" s="155"/>
      <c r="N7" s="155"/>
      <c r="O7" s="155"/>
      <c r="P7" s="155"/>
      <c r="R7" s="155" t="str">
        <f>Acta!C13</f>
        <v>Nombre de Estudiante 3</v>
      </c>
      <c r="S7" s="155"/>
      <c r="T7" s="155"/>
      <c r="U7" s="155"/>
      <c r="V7" s="155"/>
      <c r="W7" s="155"/>
      <c r="X7" s="155"/>
    </row>
    <row r="8" spans="2:25" ht="15.75" customHeight="1" x14ac:dyDescent="0.2">
      <c r="B8" s="112" t="s">
        <v>26</v>
      </c>
      <c r="C8" s="114" t="s">
        <v>2</v>
      </c>
      <c r="D8" s="115"/>
      <c r="E8" s="115"/>
      <c r="F8" s="116"/>
      <c r="G8" s="33"/>
      <c r="H8" s="117"/>
      <c r="J8" s="112" t="s">
        <v>26</v>
      </c>
      <c r="K8" s="114" t="s">
        <v>2</v>
      </c>
      <c r="L8" s="115"/>
      <c r="M8" s="115"/>
      <c r="N8" s="116"/>
      <c r="O8" s="33"/>
      <c r="P8" s="117"/>
      <c r="R8" s="112" t="s">
        <v>26</v>
      </c>
      <c r="S8" s="114" t="s">
        <v>2</v>
      </c>
      <c r="T8" s="115"/>
      <c r="U8" s="115"/>
      <c r="V8" s="116"/>
      <c r="W8" s="33"/>
      <c r="X8" s="117"/>
    </row>
    <row r="9" spans="2:25" ht="32" x14ac:dyDescent="0.2">
      <c r="B9" s="112"/>
      <c r="C9" s="31" t="s">
        <v>73</v>
      </c>
      <c r="D9" s="31" t="s">
        <v>27</v>
      </c>
      <c r="E9" s="31" t="s">
        <v>74</v>
      </c>
      <c r="F9" s="31" t="s">
        <v>28</v>
      </c>
      <c r="G9" s="31" t="s">
        <v>75</v>
      </c>
      <c r="H9" s="118"/>
      <c r="J9" s="112"/>
      <c r="K9" s="44" t="s">
        <v>73</v>
      </c>
      <c r="L9" s="44" t="s">
        <v>27</v>
      </c>
      <c r="M9" s="44" t="s">
        <v>74</v>
      </c>
      <c r="N9" s="44" t="s">
        <v>28</v>
      </c>
      <c r="O9" s="44" t="s">
        <v>75</v>
      </c>
      <c r="P9" s="118"/>
      <c r="R9" s="112"/>
      <c r="S9" s="44" t="s">
        <v>73</v>
      </c>
      <c r="T9" s="44" t="s">
        <v>27</v>
      </c>
      <c r="U9" s="44" t="s">
        <v>74</v>
      </c>
      <c r="V9" s="44" t="s">
        <v>28</v>
      </c>
      <c r="W9" s="44" t="s">
        <v>75</v>
      </c>
      <c r="X9" s="118"/>
    </row>
    <row r="10" spans="2:25" x14ac:dyDescent="0.2">
      <c r="B10" s="113"/>
      <c r="C10" s="20" t="s">
        <v>56</v>
      </c>
      <c r="D10" s="20" t="s">
        <v>57</v>
      </c>
      <c r="E10" s="20" t="s">
        <v>58</v>
      </c>
      <c r="F10" s="20" t="s">
        <v>59</v>
      </c>
      <c r="G10" s="20" t="s">
        <v>60</v>
      </c>
      <c r="H10" s="35" t="s">
        <v>5</v>
      </c>
      <c r="J10" s="113"/>
      <c r="K10" s="20" t="s">
        <v>56</v>
      </c>
      <c r="L10" s="20" t="s">
        <v>57</v>
      </c>
      <c r="M10" s="20" t="s">
        <v>58</v>
      </c>
      <c r="N10" s="20" t="s">
        <v>59</v>
      </c>
      <c r="O10" s="20" t="s">
        <v>60</v>
      </c>
      <c r="P10" s="43" t="s">
        <v>5</v>
      </c>
      <c r="R10" s="113"/>
      <c r="S10" s="20" t="s">
        <v>56</v>
      </c>
      <c r="T10" s="20" t="s">
        <v>57</v>
      </c>
      <c r="U10" s="20" t="s">
        <v>58</v>
      </c>
      <c r="V10" s="20" t="s">
        <v>59</v>
      </c>
      <c r="W10" s="20" t="s">
        <v>60</v>
      </c>
      <c r="X10" s="43" t="s">
        <v>5</v>
      </c>
    </row>
    <row r="11" spans="2:25" ht="48" x14ac:dyDescent="0.2">
      <c r="B11" s="109" t="s">
        <v>47</v>
      </c>
      <c r="C11" s="48" t="s">
        <v>31</v>
      </c>
      <c r="D11" s="48" t="s">
        <v>32</v>
      </c>
      <c r="E11" s="48" t="s">
        <v>33</v>
      </c>
      <c r="F11" s="48" t="s">
        <v>34</v>
      </c>
      <c r="G11" s="48" t="s">
        <v>76</v>
      </c>
      <c r="H11" s="151">
        <v>25</v>
      </c>
      <c r="J11" s="109" t="s">
        <v>47</v>
      </c>
      <c r="K11" s="48" t="s">
        <v>31</v>
      </c>
      <c r="L11" s="48" t="s">
        <v>32</v>
      </c>
      <c r="M11" s="48" t="s">
        <v>33</v>
      </c>
      <c r="N11" s="48" t="s">
        <v>34</v>
      </c>
      <c r="O11" s="48" t="s">
        <v>76</v>
      </c>
      <c r="P11" s="151">
        <v>25</v>
      </c>
      <c r="R11" s="109" t="s">
        <v>47</v>
      </c>
      <c r="S11" s="48" t="s">
        <v>31</v>
      </c>
      <c r="T11" s="48" t="s">
        <v>32</v>
      </c>
      <c r="U11" s="48" t="s">
        <v>33</v>
      </c>
      <c r="V11" s="48" t="s">
        <v>34</v>
      </c>
      <c r="W11" s="48" t="s">
        <v>76</v>
      </c>
      <c r="X11" s="151">
        <v>25</v>
      </c>
    </row>
    <row r="12" spans="2:25" ht="22.5" customHeight="1" x14ac:dyDescent="0.2">
      <c r="B12" s="110"/>
      <c r="C12" s="49"/>
      <c r="D12" s="49"/>
      <c r="E12" s="49"/>
      <c r="F12" s="49"/>
      <c r="G12" s="53"/>
      <c r="H12" s="152"/>
      <c r="I12">
        <f>IF(C12="x",4,IF(D12="x",3,IF(E12="x",2,IF(F12="x",1,0))))*H11/100 * H11</f>
        <v>0</v>
      </c>
      <c r="J12" s="110"/>
      <c r="K12" s="49"/>
      <c r="L12" s="49"/>
      <c r="M12" s="49"/>
      <c r="N12" s="49"/>
      <c r="O12" s="53"/>
      <c r="P12" s="152"/>
      <c r="Q12">
        <f>IF(K12="x",4,IF(L12="x",3,IF(M12="x",2,IF(N12="x",1,0))))*P11/100 * P11</f>
        <v>0</v>
      </c>
      <c r="R12" s="110"/>
      <c r="S12" s="49"/>
      <c r="T12" s="49"/>
      <c r="U12" s="49"/>
      <c r="V12" s="49"/>
      <c r="W12" s="53"/>
      <c r="X12" s="152"/>
      <c r="Y12">
        <f>IF(S12="x",4,IF(T12="x",3,IF(U12="x",2,IF(V12="x",1,0))))*X11/100 * X11</f>
        <v>0</v>
      </c>
    </row>
    <row r="13" spans="2:25" ht="33.75" customHeight="1" x14ac:dyDescent="0.2">
      <c r="B13" s="119" t="s">
        <v>49</v>
      </c>
      <c r="C13" s="50" t="s">
        <v>39</v>
      </c>
      <c r="D13" s="50" t="s">
        <v>40</v>
      </c>
      <c r="E13" s="50" t="s">
        <v>41</v>
      </c>
      <c r="F13" s="50" t="s">
        <v>42</v>
      </c>
      <c r="G13" s="50" t="s">
        <v>76</v>
      </c>
      <c r="H13" s="153">
        <v>25</v>
      </c>
      <c r="J13" s="119" t="s">
        <v>49</v>
      </c>
      <c r="K13" s="50" t="s">
        <v>39</v>
      </c>
      <c r="L13" s="50" t="s">
        <v>40</v>
      </c>
      <c r="M13" s="50" t="s">
        <v>41</v>
      </c>
      <c r="N13" s="50" t="s">
        <v>42</v>
      </c>
      <c r="O13" s="50" t="s">
        <v>76</v>
      </c>
      <c r="P13" s="153">
        <v>25</v>
      </c>
      <c r="R13" s="119" t="s">
        <v>49</v>
      </c>
      <c r="S13" s="50" t="s">
        <v>39</v>
      </c>
      <c r="T13" s="50" t="s">
        <v>40</v>
      </c>
      <c r="U13" s="50" t="s">
        <v>41</v>
      </c>
      <c r="V13" s="50" t="s">
        <v>42</v>
      </c>
      <c r="W13" s="50" t="s">
        <v>76</v>
      </c>
      <c r="X13" s="153">
        <v>25</v>
      </c>
    </row>
    <row r="14" spans="2:25" ht="22.5" customHeight="1" x14ac:dyDescent="0.2">
      <c r="B14" s="120"/>
      <c r="C14" s="49"/>
      <c r="D14" s="49"/>
      <c r="E14" s="49"/>
      <c r="F14" s="49"/>
      <c r="G14" s="53"/>
      <c r="H14" s="154"/>
      <c r="I14">
        <f>IF(C14="x",4,IF(D14="x",3,IF(E14="x",2,IF(F14="x",1,0))))*H13/100 * H13</f>
        <v>0</v>
      </c>
      <c r="J14" s="120"/>
      <c r="K14" s="49"/>
      <c r="L14" s="49"/>
      <c r="M14" s="49"/>
      <c r="N14" s="49"/>
      <c r="O14" s="53"/>
      <c r="P14" s="154"/>
      <c r="Q14">
        <f>IF(K14="x",4,IF(L14="x",3,IF(M14="x",2,IF(N14="x",1,0))))*P13/100 * P13</f>
        <v>0</v>
      </c>
      <c r="R14" s="120"/>
      <c r="S14" s="49"/>
      <c r="T14" s="49"/>
      <c r="U14" s="49"/>
      <c r="V14" s="49"/>
      <c r="W14" s="53"/>
      <c r="X14" s="154"/>
      <c r="Y14">
        <f>IF(S14="x",4,IF(T14="x",3,IF(U14="x",2,IF(V14="x",1,0))))*X13/100 * X13</f>
        <v>0</v>
      </c>
    </row>
    <row r="15" spans="2:25" ht="48" x14ac:dyDescent="0.2">
      <c r="B15" s="109" t="s">
        <v>50</v>
      </c>
      <c r="C15" s="48" t="s">
        <v>35</v>
      </c>
      <c r="D15" s="48" t="s">
        <v>36</v>
      </c>
      <c r="E15" s="48" t="s">
        <v>37</v>
      </c>
      <c r="F15" s="48" t="s">
        <v>38</v>
      </c>
      <c r="G15" s="48" t="s">
        <v>76</v>
      </c>
      <c r="H15" s="151">
        <v>25</v>
      </c>
      <c r="J15" s="109" t="s">
        <v>50</v>
      </c>
      <c r="K15" s="48" t="s">
        <v>35</v>
      </c>
      <c r="L15" s="48" t="s">
        <v>36</v>
      </c>
      <c r="M15" s="48" t="s">
        <v>37</v>
      </c>
      <c r="N15" s="48" t="s">
        <v>38</v>
      </c>
      <c r="O15" s="48" t="s">
        <v>76</v>
      </c>
      <c r="P15" s="151">
        <v>25</v>
      </c>
      <c r="R15" s="109" t="s">
        <v>50</v>
      </c>
      <c r="S15" s="48" t="s">
        <v>35</v>
      </c>
      <c r="T15" s="48" t="s">
        <v>36</v>
      </c>
      <c r="U15" s="48" t="s">
        <v>37</v>
      </c>
      <c r="V15" s="48" t="s">
        <v>38</v>
      </c>
      <c r="W15" s="48" t="s">
        <v>76</v>
      </c>
      <c r="X15" s="151">
        <v>25</v>
      </c>
    </row>
    <row r="16" spans="2:25" ht="22.5" customHeight="1" x14ac:dyDescent="0.2">
      <c r="B16" s="110"/>
      <c r="C16" s="49"/>
      <c r="D16" s="49"/>
      <c r="E16" s="49"/>
      <c r="F16" s="49"/>
      <c r="G16" s="53"/>
      <c r="H16" s="152"/>
      <c r="I16">
        <f>IF(C16="x",4,IF(D16="x",3,IF(E16="x",2,IF(F16="x",1,0))))*H15/100 * H15</f>
        <v>0</v>
      </c>
      <c r="J16" s="110"/>
      <c r="K16" s="49"/>
      <c r="L16" s="49"/>
      <c r="M16" s="49"/>
      <c r="N16" s="49"/>
      <c r="O16" s="53"/>
      <c r="P16" s="152"/>
      <c r="Q16">
        <f>IF(K16="x",4,IF(L16="x",3,IF(M16="x",2,IF(N16="x",1,0))))*P15/100 * P15</f>
        <v>0</v>
      </c>
      <c r="R16" s="110"/>
      <c r="S16" s="49"/>
      <c r="T16" s="49"/>
      <c r="U16" s="49"/>
      <c r="V16" s="49"/>
      <c r="W16" s="53"/>
      <c r="X16" s="152"/>
      <c r="Y16">
        <f>IF(S16="x",4,IF(T16="x",3,IF(U16="x",2,IF(V16="x",1,0))))*X15/100 * X15</f>
        <v>0</v>
      </c>
    </row>
    <row r="17" spans="2:25" ht="33.75" customHeight="1" x14ac:dyDescent="0.2">
      <c r="B17" s="119" t="s">
        <v>48</v>
      </c>
      <c r="C17" s="50" t="s">
        <v>43</v>
      </c>
      <c r="D17" s="50" t="s">
        <v>44</v>
      </c>
      <c r="E17" s="50" t="s">
        <v>45</v>
      </c>
      <c r="F17" s="50" t="s">
        <v>46</v>
      </c>
      <c r="G17" s="50" t="s">
        <v>76</v>
      </c>
      <c r="H17" s="153">
        <v>25</v>
      </c>
      <c r="J17" s="119" t="s">
        <v>48</v>
      </c>
      <c r="K17" s="50" t="s">
        <v>43</v>
      </c>
      <c r="L17" s="50" t="s">
        <v>44</v>
      </c>
      <c r="M17" s="50" t="s">
        <v>45</v>
      </c>
      <c r="N17" s="50" t="s">
        <v>46</v>
      </c>
      <c r="O17" s="50" t="s">
        <v>76</v>
      </c>
      <c r="P17" s="153">
        <v>25</v>
      </c>
      <c r="R17" s="119" t="s">
        <v>48</v>
      </c>
      <c r="S17" s="50" t="s">
        <v>43</v>
      </c>
      <c r="T17" s="50" t="s">
        <v>44</v>
      </c>
      <c r="U17" s="50" t="s">
        <v>45</v>
      </c>
      <c r="V17" s="50" t="s">
        <v>46</v>
      </c>
      <c r="W17" s="50" t="s">
        <v>76</v>
      </c>
      <c r="X17" s="153">
        <v>25</v>
      </c>
    </row>
    <row r="18" spans="2:25" ht="22.5" customHeight="1" x14ac:dyDescent="0.2">
      <c r="B18" s="120"/>
      <c r="C18" s="49"/>
      <c r="D18" s="49"/>
      <c r="E18" s="49"/>
      <c r="F18" s="49"/>
      <c r="G18" s="53"/>
      <c r="H18" s="154"/>
      <c r="I18">
        <f>IF(C18="x",4,IF(D18="x",3,IF(E18="x",2,IF(F18="x",1,0))))*H17/100 * H17</f>
        <v>0</v>
      </c>
      <c r="J18" s="120"/>
      <c r="K18" s="49"/>
      <c r="L18" s="49"/>
      <c r="M18" s="49"/>
      <c r="N18" s="49"/>
      <c r="O18" s="53"/>
      <c r="P18" s="154"/>
      <c r="Q18">
        <f>IF(K18="x",4,IF(L18="x",3,IF(M18="x",2,IF(N18="x",1,0))))*P17/100 * P17</f>
        <v>0</v>
      </c>
      <c r="R18" s="120"/>
      <c r="S18" s="49"/>
      <c r="T18" s="49"/>
      <c r="U18" s="49"/>
      <c r="V18" s="49"/>
      <c r="W18" s="53"/>
      <c r="X18" s="154"/>
      <c r="Y18">
        <f>IF(S18="x",4,IF(T18="x",3,IF(U18="x",2,IF(V18="x",1,0))))*X17/100 * X17</f>
        <v>0</v>
      </c>
    </row>
    <row r="20" spans="2:25" x14ac:dyDescent="0.2">
      <c r="I20">
        <f>SUM(I12:I18)</f>
        <v>0</v>
      </c>
      <c r="Q20">
        <f>SUM(Q12:Q18)</f>
        <v>0</v>
      </c>
      <c r="Y20">
        <f>SUM(Y12:Y18)</f>
        <v>0</v>
      </c>
    </row>
    <row r="21" spans="2:25" x14ac:dyDescent="0.2">
      <c r="I21">
        <f>IF(I20&lt;60, 3*I20/60 + 1, 3*(I20-60)/40 + 4)</f>
        <v>1</v>
      </c>
      <c r="Q21">
        <f>IF(Q20&lt;60, 3*Q20/60 + 1, 3*(Q20-60)/40 + 4)</f>
        <v>1</v>
      </c>
      <c r="Y21">
        <f>IF(Y20&lt;60, 3*Y20/60 + 1, 3*(Y20-60)/40 + 4)</f>
        <v>1</v>
      </c>
    </row>
  </sheetData>
  <sheetProtection selectLockedCells="1"/>
  <mergeCells count="48">
    <mergeCell ref="R15:R16"/>
    <mergeCell ref="X15:X16"/>
    <mergeCell ref="R17:R18"/>
    <mergeCell ref="X17:X18"/>
    <mergeCell ref="B17:B18"/>
    <mergeCell ref="H17:H18"/>
    <mergeCell ref="J15:J16"/>
    <mergeCell ref="P15:P16"/>
    <mergeCell ref="J17:J18"/>
    <mergeCell ref="P17:P18"/>
    <mergeCell ref="B15:B16"/>
    <mergeCell ref="H15:H16"/>
    <mergeCell ref="J13:J14"/>
    <mergeCell ref="P13:P14"/>
    <mergeCell ref="E6:H6"/>
    <mergeCell ref="B7:H7"/>
    <mergeCell ref="B13:B14"/>
    <mergeCell ref="H13:H14"/>
    <mergeCell ref="B8:B10"/>
    <mergeCell ref="C8:F8"/>
    <mergeCell ref="H8:H9"/>
    <mergeCell ref="B11:B12"/>
    <mergeCell ref="H11:H12"/>
    <mergeCell ref="M6:P6"/>
    <mergeCell ref="J7:P7"/>
    <mergeCell ref="J8:J10"/>
    <mergeCell ref="J11:J12"/>
    <mergeCell ref="P11:P12"/>
    <mergeCell ref="R11:R12"/>
    <mergeCell ref="X11:X12"/>
    <mergeCell ref="R13:R14"/>
    <mergeCell ref="X13:X14"/>
    <mergeCell ref="R7:X7"/>
    <mergeCell ref="R8:R10"/>
    <mergeCell ref="S8:V8"/>
    <mergeCell ref="X8:X9"/>
    <mergeCell ref="K8:N8"/>
    <mergeCell ref="P8:P9"/>
    <mergeCell ref="C1:F1"/>
    <mergeCell ref="C2:F2"/>
    <mergeCell ref="C3:F3"/>
    <mergeCell ref="U6:X6"/>
    <mergeCell ref="K1:N1"/>
    <mergeCell ref="K2:N2"/>
    <mergeCell ref="K3:N3"/>
    <mergeCell ref="S1:V1"/>
    <mergeCell ref="S2:V2"/>
    <mergeCell ref="S3:V3"/>
  </mergeCells>
  <printOptions horizontalCentered="1"/>
  <pageMargins left="0.25" right="0.25" top="0.75" bottom="0.75" header="0.3" footer="0.3"/>
  <pageSetup scale="77" fitToWidth="0" orientation="portrait" r:id="rId1"/>
  <headerFooter>
    <oddHeader>&amp;C
&amp;G</oddHead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"/>
  <sheetViews>
    <sheetView workbookViewId="0">
      <selection activeCell="B2" sqref="B2"/>
    </sheetView>
  </sheetViews>
  <sheetFormatPr baseColWidth="10" defaultRowHeight="15" x14ac:dyDescent="0.2"/>
  <sheetData/>
  <pageMargins left="0.7" right="0.7" top="0.75" bottom="0.75" header="0.3" footer="0.3"/>
  <pageSetup orientation="portrait" r:id="rId1"/>
  <headerFooter>
    <oddHeader>&amp;C
&amp;G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L113"/>
  <sheetViews>
    <sheetView topLeftCell="A92" zoomScaleNormal="100" workbookViewId="0">
      <selection activeCell="M115" sqref="M115"/>
    </sheetView>
  </sheetViews>
  <sheetFormatPr baseColWidth="10" defaultRowHeight="15" x14ac:dyDescent="0.2"/>
  <cols>
    <col min="1" max="1" width="11.5" customWidth="1"/>
    <col min="5" max="6" width="8.5" customWidth="1"/>
    <col min="7" max="7" width="4.83203125" bestFit="1" customWidth="1"/>
    <col min="10" max="10" width="13" customWidth="1"/>
    <col min="12" max="12" width="13.1640625" customWidth="1"/>
  </cols>
  <sheetData>
    <row r="1" spans="1:12" x14ac:dyDescent="0.2">
      <c r="A1" t="s">
        <v>10</v>
      </c>
    </row>
    <row r="3" spans="1:12" x14ac:dyDescent="0.2">
      <c r="A3" t="s">
        <v>11</v>
      </c>
      <c r="D3" s="2">
        <v>100</v>
      </c>
      <c r="E3" t="s">
        <v>12</v>
      </c>
    </row>
    <row r="4" spans="1:12" x14ac:dyDescent="0.2">
      <c r="A4" t="s">
        <v>13</v>
      </c>
      <c r="D4" s="3">
        <v>0.6</v>
      </c>
      <c r="F4" t="s">
        <v>14</v>
      </c>
    </row>
    <row r="5" spans="1:12" x14ac:dyDescent="0.2">
      <c r="A5" t="s">
        <v>15</v>
      </c>
      <c r="D5">
        <f>ROUND(D3*D4,0)</f>
        <v>60</v>
      </c>
      <c r="E5" t="s">
        <v>12</v>
      </c>
    </row>
    <row r="7" spans="1:12" x14ac:dyDescent="0.2">
      <c r="A7" t="s">
        <v>16</v>
      </c>
      <c r="B7" t="s">
        <v>17</v>
      </c>
    </row>
    <row r="8" spans="1:12" x14ac:dyDescent="0.2">
      <c r="A8">
        <v>0</v>
      </c>
      <c r="B8">
        <v>1</v>
      </c>
    </row>
    <row r="9" spans="1:12" x14ac:dyDescent="0.2">
      <c r="A9">
        <v>1</v>
      </c>
      <c r="B9" s="4">
        <v>1.05</v>
      </c>
      <c r="I9" s="4"/>
      <c r="L9" s="4"/>
    </row>
    <row r="10" spans="1:12" x14ac:dyDescent="0.2">
      <c r="A10">
        <v>2</v>
      </c>
      <c r="B10" s="4">
        <v>1.1000000000000001</v>
      </c>
      <c r="I10" s="4"/>
      <c r="L10" s="4"/>
    </row>
    <row r="11" spans="1:12" x14ac:dyDescent="0.2">
      <c r="A11">
        <v>3</v>
      </c>
      <c r="B11" s="4">
        <v>1.1499999999999999</v>
      </c>
      <c r="I11" s="4"/>
      <c r="L11" s="4"/>
    </row>
    <row r="12" spans="1:12" x14ac:dyDescent="0.2">
      <c r="A12">
        <v>4</v>
      </c>
      <c r="B12" s="4">
        <v>1.2</v>
      </c>
      <c r="I12" s="4"/>
      <c r="L12" s="4"/>
    </row>
    <row r="13" spans="1:12" x14ac:dyDescent="0.2">
      <c r="A13">
        <v>5</v>
      </c>
      <c r="B13" s="4">
        <v>1.25</v>
      </c>
      <c r="I13" s="4"/>
      <c r="L13" s="4"/>
    </row>
    <row r="14" spans="1:12" x14ac:dyDescent="0.2">
      <c r="A14">
        <v>6</v>
      </c>
      <c r="B14" s="4">
        <v>1.3</v>
      </c>
      <c r="I14" s="4"/>
      <c r="L14" s="4"/>
    </row>
    <row r="15" spans="1:12" x14ac:dyDescent="0.2">
      <c r="A15">
        <v>7</v>
      </c>
      <c r="B15" s="4">
        <v>1.35</v>
      </c>
      <c r="I15" s="4"/>
      <c r="L15" s="4"/>
    </row>
    <row r="16" spans="1:12" x14ac:dyDescent="0.2">
      <c r="A16">
        <v>8</v>
      </c>
      <c r="B16" s="4">
        <v>1.4</v>
      </c>
      <c r="I16" s="4"/>
      <c r="L16" s="4"/>
    </row>
    <row r="17" spans="1:12" x14ac:dyDescent="0.2">
      <c r="A17">
        <v>9</v>
      </c>
      <c r="B17" s="4">
        <v>1.45</v>
      </c>
      <c r="I17" s="4"/>
      <c r="L17" s="4"/>
    </row>
    <row r="18" spans="1:12" x14ac:dyDescent="0.2">
      <c r="A18">
        <v>10</v>
      </c>
      <c r="B18" s="4">
        <v>1.5</v>
      </c>
      <c r="I18" s="4"/>
      <c r="L18" s="4"/>
    </row>
    <row r="19" spans="1:12" x14ac:dyDescent="0.2">
      <c r="A19">
        <v>11</v>
      </c>
      <c r="B19" s="4">
        <v>1.55</v>
      </c>
      <c r="I19" s="4"/>
      <c r="L19" s="4"/>
    </row>
    <row r="20" spans="1:12" x14ac:dyDescent="0.2">
      <c r="A20">
        <v>12</v>
      </c>
      <c r="B20" s="4">
        <v>1.6</v>
      </c>
      <c r="I20" s="4"/>
      <c r="L20" s="4"/>
    </row>
    <row r="21" spans="1:12" x14ac:dyDescent="0.2">
      <c r="A21">
        <v>13</v>
      </c>
      <c r="B21" s="4">
        <v>1.65</v>
      </c>
      <c r="I21" s="4"/>
      <c r="L21" s="4"/>
    </row>
    <row r="22" spans="1:12" x14ac:dyDescent="0.2">
      <c r="A22">
        <v>14</v>
      </c>
      <c r="B22" s="4">
        <v>1.7</v>
      </c>
      <c r="I22" s="4"/>
      <c r="L22" s="4"/>
    </row>
    <row r="23" spans="1:12" x14ac:dyDescent="0.2">
      <c r="A23">
        <v>15</v>
      </c>
      <c r="B23" s="4">
        <v>1.75</v>
      </c>
      <c r="I23" s="4"/>
      <c r="L23" s="4"/>
    </row>
    <row r="24" spans="1:12" x14ac:dyDescent="0.2">
      <c r="A24">
        <v>16</v>
      </c>
      <c r="B24" s="4">
        <v>1.8</v>
      </c>
      <c r="I24" s="4"/>
      <c r="L24" s="4"/>
    </row>
    <row r="25" spans="1:12" x14ac:dyDescent="0.2">
      <c r="A25">
        <v>17</v>
      </c>
      <c r="B25" s="4">
        <v>1.85</v>
      </c>
      <c r="I25" s="4"/>
      <c r="L25" s="4"/>
    </row>
    <row r="26" spans="1:12" x14ac:dyDescent="0.2">
      <c r="A26">
        <v>18</v>
      </c>
      <c r="B26" s="4">
        <v>1.9</v>
      </c>
      <c r="I26" s="4"/>
      <c r="L26" s="4"/>
    </row>
    <row r="27" spans="1:12" x14ac:dyDescent="0.2">
      <c r="A27">
        <v>19</v>
      </c>
      <c r="B27" s="4">
        <v>1.95</v>
      </c>
      <c r="I27" s="4"/>
      <c r="L27" s="4"/>
    </row>
    <row r="28" spans="1:12" x14ac:dyDescent="0.2">
      <c r="A28">
        <v>20</v>
      </c>
      <c r="B28" s="4">
        <v>2</v>
      </c>
      <c r="I28" s="4"/>
      <c r="L28" s="4"/>
    </row>
    <row r="29" spans="1:12" x14ac:dyDescent="0.2">
      <c r="A29">
        <v>21</v>
      </c>
      <c r="B29" s="4">
        <v>2.0499999999999998</v>
      </c>
    </row>
    <row r="30" spans="1:12" x14ac:dyDescent="0.2">
      <c r="A30">
        <v>22</v>
      </c>
      <c r="B30" s="4">
        <v>2.1</v>
      </c>
    </row>
    <row r="31" spans="1:12" x14ac:dyDescent="0.2">
      <c r="A31">
        <v>23</v>
      </c>
      <c r="B31" s="4">
        <v>2.15</v>
      </c>
      <c r="K31" s="4"/>
    </row>
    <row r="32" spans="1:12" x14ac:dyDescent="0.2">
      <c r="A32">
        <v>24</v>
      </c>
      <c r="B32" s="4">
        <v>2.2000000000000002</v>
      </c>
      <c r="K32" s="4"/>
    </row>
    <row r="33" spans="1:11" x14ac:dyDescent="0.2">
      <c r="A33">
        <v>25</v>
      </c>
      <c r="B33" s="4">
        <v>2.25</v>
      </c>
      <c r="K33" s="4"/>
    </row>
    <row r="34" spans="1:11" x14ac:dyDescent="0.2">
      <c r="A34">
        <v>26</v>
      </c>
      <c r="B34" s="4">
        <v>2.2999999999999998</v>
      </c>
      <c r="K34" s="4"/>
    </row>
    <row r="35" spans="1:11" x14ac:dyDescent="0.2">
      <c r="A35">
        <v>27</v>
      </c>
      <c r="B35" s="4">
        <v>2.35</v>
      </c>
      <c r="K35" s="4"/>
    </row>
    <row r="36" spans="1:11" x14ac:dyDescent="0.2">
      <c r="A36">
        <v>28</v>
      </c>
      <c r="B36" s="4">
        <v>2.4</v>
      </c>
      <c r="K36" s="4"/>
    </row>
    <row r="37" spans="1:11" x14ac:dyDescent="0.2">
      <c r="A37">
        <v>29</v>
      </c>
      <c r="B37" s="4">
        <v>2.4500000000000002</v>
      </c>
      <c r="K37" s="4"/>
    </row>
    <row r="38" spans="1:11" x14ac:dyDescent="0.2">
      <c r="A38">
        <v>30</v>
      </c>
      <c r="B38" s="4">
        <v>2.5</v>
      </c>
      <c r="K38" s="4"/>
    </row>
    <row r="39" spans="1:11" x14ac:dyDescent="0.2">
      <c r="A39">
        <v>31</v>
      </c>
      <c r="B39" s="4">
        <v>2.5499999999999998</v>
      </c>
      <c r="K39" s="4"/>
    </row>
    <row r="40" spans="1:11" x14ac:dyDescent="0.2">
      <c r="A40">
        <v>32</v>
      </c>
      <c r="B40" s="4">
        <v>2.6</v>
      </c>
      <c r="K40" s="4"/>
    </row>
    <row r="41" spans="1:11" x14ac:dyDescent="0.2">
      <c r="A41">
        <v>33</v>
      </c>
      <c r="B41" s="4">
        <v>2.65</v>
      </c>
      <c r="K41" s="4"/>
    </row>
    <row r="42" spans="1:11" x14ac:dyDescent="0.2">
      <c r="A42">
        <v>34</v>
      </c>
      <c r="B42" s="4">
        <v>2.7</v>
      </c>
      <c r="K42" s="4"/>
    </row>
    <row r="43" spans="1:11" x14ac:dyDescent="0.2">
      <c r="A43">
        <v>35</v>
      </c>
      <c r="B43" s="4">
        <v>2.75</v>
      </c>
      <c r="K43" s="4"/>
    </row>
    <row r="44" spans="1:11" x14ac:dyDescent="0.2">
      <c r="A44">
        <v>36</v>
      </c>
      <c r="B44" s="4">
        <v>2.8</v>
      </c>
      <c r="K44" s="4"/>
    </row>
    <row r="45" spans="1:11" x14ac:dyDescent="0.2">
      <c r="A45">
        <v>37</v>
      </c>
      <c r="B45" s="4">
        <v>2.85</v>
      </c>
      <c r="K45" s="4"/>
    </row>
    <row r="46" spans="1:11" x14ac:dyDescent="0.2">
      <c r="A46">
        <v>38</v>
      </c>
      <c r="B46" s="4">
        <v>2.9</v>
      </c>
      <c r="K46" s="4"/>
    </row>
    <row r="47" spans="1:11" x14ac:dyDescent="0.2">
      <c r="A47">
        <v>39</v>
      </c>
      <c r="B47" s="4">
        <v>2.95</v>
      </c>
      <c r="K47" s="4"/>
    </row>
    <row r="48" spans="1:11" x14ac:dyDescent="0.2">
      <c r="A48">
        <v>40</v>
      </c>
      <c r="B48" s="4">
        <v>3</v>
      </c>
      <c r="K48" s="4"/>
    </row>
    <row r="49" spans="1:11" x14ac:dyDescent="0.2">
      <c r="A49">
        <v>41</v>
      </c>
      <c r="B49" s="4">
        <v>3.05</v>
      </c>
      <c r="K49" s="4"/>
    </row>
    <row r="50" spans="1:11" x14ac:dyDescent="0.2">
      <c r="A50">
        <v>42</v>
      </c>
      <c r="B50" s="4">
        <v>3.1</v>
      </c>
      <c r="K50" s="4"/>
    </row>
    <row r="51" spans="1:11" x14ac:dyDescent="0.2">
      <c r="A51">
        <v>43</v>
      </c>
      <c r="B51" s="4">
        <v>3.15</v>
      </c>
    </row>
    <row r="52" spans="1:11" x14ac:dyDescent="0.2">
      <c r="A52">
        <v>44</v>
      </c>
      <c r="B52" s="4">
        <v>3.2</v>
      </c>
    </row>
    <row r="53" spans="1:11" x14ac:dyDescent="0.2">
      <c r="A53">
        <v>45</v>
      </c>
      <c r="B53" s="4">
        <v>3.25</v>
      </c>
    </row>
    <row r="54" spans="1:11" x14ac:dyDescent="0.2">
      <c r="A54">
        <v>46</v>
      </c>
      <c r="B54" s="4">
        <v>3.3</v>
      </c>
    </row>
    <row r="55" spans="1:11" x14ac:dyDescent="0.2">
      <c r="A55">
        <v>47</v>
      </c>
      <c r="B55" s="4">
        <v>3.35</v>
      </c>
    </row>
    <row r="56" spans="1:11" x14ac:dyDescent="0.2">
      <c r="A56">
        <v>48</v>
      </c>
      <c r="B56" s="4">
        <v>3.4</v>
      </c>
    </row>
    <row r="57" spans="1:11" x14ac:dyDescent="0.2">
      <c r="A57">
        <v>49</v>
      </c>
      <c r="B57" s="4">
        <v>3.45</v>
      </c>
    </row>
    <row r="58" spans="1:11" x14ac:dyDescent="0.2">
      <c r="A58">
        <v>50</v>
      </c>
      <c r="B58" s="4">
        <v>3.5</v>
      </c>
    </row>
    <row r="59" spans="1:11" x14ac:dyDescent="0.2">
      <c r="A59">
        <v>51</v>
      </c>
      <c r="B59" s="4">
        <v>3.55</v>
      </c>
    </row>
    <row r="60" spans="1:11" x14ac:dyDescent="0.2">
      <c r="A60">
        <v>52</v>
      </c>
      <c r="B60" s="4">
        <v>3.6</v>
      </c>
    </row>
    <row r="61" spans="1:11" x14ac:dyDescent="0.2">
      <c r="A61">
        <v>53</v>
      </c>
      <c r="B61" s="4">
        <v>3.65</v>
      </c>
    </row>
    <row r="62" spans="1:11" x14ac:dyDescent="0.2">
      <c r="A62">
        <v>54</v>
      </c>
      <c r="B62" s="4">
        <v>3.7</v>
      </c>
    </row>
    <row r="63" spans="1:11" x14ac:dyDescent="0.2">
      <c r="A63">
        <v>55</v>
      </c>
      <c r="B63" s="4">
        <v>3.75</v>
      </c>
    </row>
    <row r="64" spans="1:11" x14ac:dyDescent="0.2">
      <c r="A64">
        <v>56</v>
      </c>
      <c r="B64" s="4">
        <v>3.8</v>
      </c>
    </row>
    <row r="65" spans="1:2" x14ac:dyDescent="0.2">
      <c r="A65">
        <v>57</v>
      </c>
      <c r="B65" s="4">
        <v>3.85</v>
      </c>
    </row>
    <row r="66" spans="1:2" x14ac:dyDescent="0.2">
      <c r="A66">
        <v>58</v>
      </c>
      <c r="B66" s="4">
        <v>3.9</v>
      </c>
    </row>
    <row r="67" spans="1:2" x14ac:dyDescent="0.2">
      <c r="A67">
        <v>59</v>
      </c>
      <c r="B67" s="4">
        <v>3.95</v>
      </c>
    </row>
    <row r="68" spans="1:2" x14ac:dyDescent="0.2">
      <c r="A68">
        <v>60</v>
      </c>
      <c r="B68" s="4">
        <v>4</v>
      </c>
    </row>
    <row r="69" spans="1:2" x14ac:dyDescent="0.2">
      <c r="A69">
        <v>61</v>
      </c>
      <c r="B69" s="4">
        <v>4.0750000000000002</v>
      </c>
    </row>
    <row r="70" spans="1:2" x14ac:dyDescent="0.2">
      <c r="A70">
        <v>62</v>
      </c>
      <c r="B70" s="4">
        <v>4.1500000000000004</v>
      </c>
    </row>
    <row r="71" spans="1:2" x14ac:dyDescent="0.2">
      <c r="A71">
        <v>63</v>
      </c>
      <c r="B71" s="4">
        <v>4.2249999999999996</v>
      </c>
    </row>
    <row r="72" spans="1:2" x14ac:dyDescent="0.2">
      <c r="A72">
        <v>64</v>
      </c>
      <c r="B72" s="4">
        <v>4.3</v>
      </c>
    </row>
    <row r="73" spans="1:2" x14ac:dyDescent="0.2">
      <c r="A73">
        <v>65</v>
      </c>
      <c r="B73" s="4">
        <v>4.375</v>
      </c>
    </row>
    <row r="74" spans="1:2" x14ac:dyDescent="0.2">
      <c r="A74">
        <v>66</v>
      </c>
      <c r="B74" s="4">
        <v>4.45</v>
      </c>
    </row>
    <row r="75" spans="1:2" x14ac:dyDescent="0.2">
      <c r="A75">
        <v>67</v>
      </c>
      <c r="B75" s="4">
        <v>4.5250000000000004</v>
      </c>
    </row>
    <row r="76" spans="1:2" x14ac:dyDescent="0.2">
      <c r="A76">
        <v>68</v>
      </c>
      <c r="B76" s="4">
        <v>4.5999999999999996</v>
      </c>
    </row>
    <row r="77" spans="1:2" x14ac:dyDescent="0.2">
      <c r="A77">
        <v>69</v>
      </c>
      <c r="B77" s="4">
        <v>4.6749999999999998</v>
      </c>
    </row>
    <row r="78" spans="1:2" x14ac:dyDescent="0.2">
      <c r="A78">
        <v>70</v>
      </c>
      <c r="B78" s="4">
        <v>4.75</v>
      </c>
    </row>
    <row r="79" spans="1:2" x14ac:dyDescent="0.2">
      <c r="A79">
        <v>71</v>
      </c>
      <c r="B79" s="4">
        <v>4.8250000000000002</v>
      </c>
    </row>
    <row r="80" spans="1:2" x14ac:dyDescent="0.2">
      <c r="A80">
        <v>72</v>
      </c>
      <c r="B80" s="4">
        <v>4.9000000000000004</v>
      </c>
    </row>
    <row r="81" spans="1:2" x14ac:dyDescent="0.2">
      <c r="A81">
        <v>73</v>
      </c>
      <c r="B81" s="4">
        <v>4.9749999999999996</v>
      </c>
    </row>
    <row r="82" spans="1:2" x14ac:dyDescent="0.2">
      <c r="A82">
        <v>74</v>
      </c>
      <c r="B82" s="4">
        <v>5.05</v>
      </c>
    </row>
    <row r="83" spans="1:2" x14ac:dyDescent="0.2">
      <c r="A83">
        <v>75</v>
      </c>
      <c r="B83" s="4">
        <v>5.125</v>
      </c>
    </row>
    <row r="84" spans="1:2" x14ac:dyDescent="0.2">
      <c r="A84">
        <v>76</v>
      </c>
      <c r="B84" s="4">
        <v>5.2</v>
      </c>
    </row>
    <row r="85" spans="1:2" x14ac:dyDescent="0.2">
      <c r="A85">
        <v>77</v>
      </c>
      <c r="B85" s="4">
        <v>5.2750000000000004</v>
      </c>
    </row>
    <row r="86" spans="1:2" x14ac:dyDescent="0.2">
      <c r="A86">
        <v>78</v>
      </c>
      <c r="B86" s="4">
        <v>5.35</v>
      </c>
    </row>
    <row r="87" spans="1:2" x14ac:dyDescent="0.2">
      <c r="A87">
        <v>79</v>
      </c>
      <c r="B87" s="4">
        <v>5.4249999999999998</v>
      </c>
    </row>
    <row r="88" spans="1:2" x14ac:dyDescent="0.2">
      <c r="A88">
        <v>80</v>
      </c>
      <c r="B88" s="4">
        <v>5.5</v>
      </c>
    </row>
    <row r="89" spans="1:2" x14ac:dyDescent="0.2">
      <c r="A89">
        <v>81</v>
      </c>
      <c r="B89" s="4">
        <v>5.5750000000000002</v>
      </c>
    </row>
    <row r="90" spans="1:2" x14ac:dyDescent="0.2">
      <c r="A90">
        <v>82</v>
      </c>
      <c r="B90" s="4">
        <v>5.65</v>
      </c>
    </row>
    <row r="91" spans="1:2" x14ac:dyDescent="0.2">
      <c r="A91">
        <v>83</v>
      </c>
      <c r="B91" s="4">
        <v>5.7249999999999996</v>
      </c>
    </row>
    <row r="92" spans="1:2" x14ac:dyDescent="0.2">
      <c r="A92">
        <v>84</v>
      </c>
      <c r="B92" s="4">
        <v>5.8</v>
      </c>
    </row>
    <row r="93" spans="1:2" x14ac:dyDescent="0.2">
      <c r="A93">
        <v>85</v>
      </c>
      <c r="B93" s="4">
        <v>5.875</v>
      </c>
    </row>
    <row r="94" spans="1:2" x14ac:dyDescent="0.2">
      <c r="A94">
        <v>86</v>
      </c>
      <c r="B94" s="4">
        <v>5.95</v>
      </c>
    </row>
    <row r="95" spans="1:2" x14ac:dyDescent="0.2">
      <c r="A95">
        <v>87</v>
      </c>
      <c r="B95" s="4">
        <v>6.0250000000000004</v>
      </c>
    </row>
    <row r="96" spans="1:2" x14ac:dyDescent="0.2">
      <c r="A96">
        <v>88</v>
      </c>
      <c r="B96" s="4">
        <v>6.1</v>
      </c>
    </row>
    <row r="97" spans="1:2" x14ac:dyDescent="0.2">
      <c r="A97">
        <v>89</v>
      </c>
      <c r="B97" s="4">
        <v>6.1749999999999998</v>
      </c>
    </row>
    <row r="98" spans="1:2" x14ac:dyDescent="0.2">
      <c r="A98">
        <v>90</v>
      </c>
      <c r="B98" s="4">
        <v>6.25</v>
      </c>
    </row>
    <row r="99" spans="1:2" x14ac:dyDescent="0.2">
      <c r="A99">
        <v>91</v>
      </c>
      <c r="B99" s="4">
        <v>6.3250000000000002</v>
      </c>
    </row>
    <row r="100" spans="1:2" x14ac:dyDescent="0.2">
      <c r="A100">
        <v>92</v>
      </c>
      <c r="B100" s="4">
        <v>6.4</v>
      </c>
    </row>
    <row r="101" spans="1:2" x14ac:dyDescent="0.2">
      <c r="A101">
        <v>93</v>
      </c>
      <c r="B101" s="4">
        <v>6.4749999999999996</v>
      </c>
    </row>
    <row r="102" spans="1:2" x14ac:dyDescent="0.2">
      <c r="A102">
        <v>94</v>
      </c>
      <c r="B102" s="4">
        <v>6.55</v>
      </c>
    </row>
    <row r="103" spans="1:2" x14ac:dyDescent="0.2">
      <c r="A103">
        <v>95</v>
      </c>
      <c r="B103" s="4">
        <v>6.625</v>
      </c>
    </row>
    <row r="104" spans="1:2" x14ac:dyDescent="0.2">
      <c r="A104">
        <v>96</v>
      </c>
      <c r="B104" s="4">
        <v>6.7</v>
      </c>
    </row>
    <row r="105" spans="1:2" x14ac:dyDescent="0.2">
      <c r="A105">
        <v>97</v>
      </c>
      <c r="B105" s="4">
        <v>6.7750000000000004</v>
      </c>
    </row>
    <row r="106" spans="1:2" x14ac:dyDescent="0.2">
      <c r="A106">
        <v>98</v>
      </c>
      <c r="B106" s="4">
        <v>6.85</v>
      </c>
    </row>
    <row r="107" spans="1:2" x14ac:dyDescent="0.2">
      <c r="A107">
        <v>99</v>
      </c>
      <c r="B107" s="4">
        <v>6.9249999999999998</v>
      </c>
    </row>
    <row r="108" spans="1:2" x14ac:dyDescent="0.2">
      <c r="A108">
        <v>100</v>
      </c>
      <c r="B108" s="4">
        <v>7</v>
      </c>
    </row>
    <row r="111" spans="1:2" ht="67.5" customHeight="1" x14ac:dyDescent="0.2"/>
    <row r="113" ht="40.5" customHeight="1" x14ac:dyDescent="0.2"/>
  </sheetData>
  <conditionalFormatting sqref="B9:B108">
    <cfRule type="cellIs" dxfId="0" priority="1" stopIfTrue="1" operator="greaterThanOrEqual">
      <formula>"4.0"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Acta</vt:lpstr>
      <vt:lpstr>Informe</vt:lpstr>
      <vt:lpstr>Disertación</vt:lpstr>
      <vt:lpstr>Software</vt:lpstr>
      <vt:lpstr>Estudiante</vt:lpstr>
      <vt:lpstr>Anotaciones</vt:lpstr>
      <vt:lpstr>Tab</vt:lpstr>
      <vt:lpstr>Acta!Área_de_impresión</vt:lpstr>
      <vt:lpstr>Disertación!Área_de_impresión</vt:lpstr>
      <vt:lpstr>Estudiante!Área_de_impresión</vt:lpstr>
      <vt:lpstr>Informe!Área_de_impresión</vt:lpstr>
      <vt:lpstr>Software!Área_de_impresión</vt:lpstr>
      <vt:lpstr>Informe!Títulos_a_imprimir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INACAP SSUR Informática</dc:creator>
  <cp:lastModifiedBy>Microsoft Office User</cp:lastModifiedBy>
  <cp:lastPrinted>2018-09-27T17:32:04Z</cp:lastPrinted>
  <dcterms:created xsi:type="dcterms:W3CDTF">2016-12-03T11:50:21Z</dcterms:created>
  <dcterms:modified xsi:type="dcterms:W3CDTF">2019-12-12T13:36:26Z</dcterms:modified>
</cp:coreProperties>
</file>